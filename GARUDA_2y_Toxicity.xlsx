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juarez\Documents\Research\GARUDA\"/>
    </mc:Choice>
  </mc:AlternateContent>
  <xr:revisionPtr revIDLastSave="0" documentId="13_ncr:1_{0C4C8F51-135E-43FB-8C03-2855AE9087B0}" xr6:coauthVersionLast="47" xr6:coauthVersionMax="47" xr10:uidLastSave="{00000000-0000-0000-0000-000000000000}"/>
  <bookViews>
    <workbookView xWindow="780" yWindow="465" windowWidth="26655" windowHeight="12705" activeTab="5" xr2:uid="{00000000-000D-0000-FFFF-FFFF00000000}"/>
  </bookViews>
  <sheets>
    <sheet name="Pt ID" sheetId="3" r:id="rId1"/>
    <sheet name="6 months" sheetId="5" r:id="rId2"/>
    <sheet name="9 months" sheetId="8" r:id="rId3"/>
    <sheet name="12 months" sheetId="9" r:id="rId4"/>
    <sheet name="18 months" sheetId="10" r:id="rId5"/>
    <sheet name="24 months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9" i="11" l="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F212" i="3"/>
  <c r="F168" i="3"/>
  <c r="F65" i="3"/>
  <c r="F26" i="3"/>
  <c r="F118" i="3"/>
  <c r="F59" i="3"/>
  <c r="F124" i="3"/>
  <c r="F3" i="3"/>
  <c r="F123" i="3"/>
  <c r="F97" i="3"/>
  <c r="F19" i="3"/>
  <c r="F22" i="3"/>
  <c r="F17" i="3"/>
  <c r="F99" i="3"/>
  <c r="F104" i="3"/>
  <c r="F47" i="3"/>
  <c r="F37" i="3"/>
  <c r="F117" i="3"/>
  <c r="F120" i="3"/>
  <c r="F34" i="3"/>
  <c r="F63" i="3"/>
  <c r="F91" i="3"/>
  <c r="F2" i="3"/>
  <c r="F75" i="3"/>
  <c r="F33" i="3"/>
  <c r="F109" i="3"/>
  <c r="F56" i="3"/>
  <c r="F105" i="3"/>
  <c r="F98" i="3"/>
  <c r="F4" i="3"/>
  <c r="F45" i="3"/>
  <c r="F102" i="3"/>
  <c r="F88" i="3"/>
  <c r="F55" i="3"/>
  <c r="F54" i="3"/>
  <c r="F53" i="3"/>
  <c r="F31" i="3"/>
  <c r="F106" i="3"/>
  <c r="F84" i="3"/>
  <c r="F110" i="3"/>
  <c r="F96" i="3"/>
  <c r="F111" i="3"/>
  <c r="F82" i="3"/>
  <c r="F14" i="3"/>
  <c r="F68" i="3"/>
  <c r="F67" i="3"/>
  <c r="F29" i="3"/>
  <c r="F112" i="3"/>
  <c r="F80" i="3"/>
  <c r="F43" i="3"/>
  <c r="F107" i="3"/>
  <c r="F95" i="3"/>
  <c r="F42" i="3"/>
  <c r="F48" i="3"/>
  <c r="F21" i="3"/>
  <c r="F40" i="3"/>
  <c r="F50" i="3"/>
  <c r="F58" i="3"/>
  <c r="F57" i="3"/>
  <c r="F101" i="3"/>
  <c r="F49" i="3"/>
  <c r="F9" i="3"/>
  <c r="F90" i="3"/>
  <c r="F77" i="3"/>
  <c r="F93" i="3"/>
  <c r="F28" i="3"/>
  <c r="F27" i="3"/>
  <c r="F116" i="3"/>
  <c r="F100" i="3"/>
  <c r="F74" i="3"/>
  <c r="F32" i="3"/>
  <c r="F8" i="3"/>
  <c r="F18" i="3"/>
  <c r="F114" i="3"/>
  <c r="F72" i="3"/>
  <c r="F66" i="3"/>
  <c r="F5" i="3"/>
  <c r="F103" i="3"/>
  <c r="F64" i="3"/>
  <c r="F41" i="3"/>
  <c r="F71" i="3"/>
  <c r="F78" i="3"/>
  <c r="F12" i="3"/>
  <c r="F25" i="3"/>
  <c r="F10" i="3"/>
  <c r="F52" i="3"/>
  <c r="F92" i="3"/>
  <c r="F44" i="3"/>
  <c r="F11" i="3"/>
  <c r="F167" i="3"/>
  <c r="F94" i="3"/>
  <c r="F46" i="3"/>
  <c r="F35" i="3"/>
  <c r="F13" i="3"/>
  <c r="F85" i="3"/>
  <c r="F60" i="3"/>
  <c r="F89" i="3"/>
  <c r="F36" i="3"/>
  <c r="F73" i="3"/>
  <c r="F7" i="3"/>
  <c r="F178" i="3"/>
  <c r="F186" i="3"/>
  <c r="F185" i="3"/>
  <c r="F171" i="3"/>
  <c r="F164" i="3"/>
  <c r="F160" i="3"/>
  <c r="F132" i="3"/>
  <c r="F131" i="3"/>
  <c r="F87" i="3"/>
  <c r="F86" i="3"/>
  <c r="F83" i="3"/>
  <c r="F79" i="3"/>
  <c r="F69" i="3"/>
  <c r="F61" i="3"/>
  <c r="F16" i="3"/>
  <c r="F15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4" i="3"/>
  <c r="F183" i="3"/>
  <c r="F182" i="3"/>
  <c r="F181" i="3"/>
  <c r="F180" i="3"/>
  <c r="F179" i="3"/>
  <c r="F177" i="3"/>
  <c r="F176" i="3"/>
  <c r="F175" i="3"/>
  <c r="F174" i="3"/>
  <c r="F173" i="3"/>
  <c r="F172" i="3"/>
  <c r="F170" i="3"/>
  <c r="F169" i="3"/>
  <c r="F166" i="3"/>
  <c r="F165" i="3"/>
  <c r="F163" i="3"/>
  <c r="F162" i="3"/>
  <c r="F161" i="3"/>
  <c r="F62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0" i="3"/>
  <c r="F129" i="3"/>
  <c r="F128" i="3"/>
  <c r="F127" i="3"/>
  <c r="F126" i="3"/>
  <c r="F125" i="3"/>
  <c r="F122" i="3"/>
  <c r="F121" i="3"/>
  <c r="F119" i="3"/>
  <c r="F115" i="3"/>
  <c r="F113" i="3"/>
  <c r="F108" i="3"/>
  <c r="F81" i="3"/>
  <c r="F76" i="3"/>
  <c r="F70" i="3"/>
  <c r="F51" i="3"/>
  <c r="F39" i="3"/>
  <c r="F38" i="3"/>
  <c r="F30" i="3"/>
  <c r="F24" i="3"/>
  <c r="F23" i="3"/>
  <c r="F20" i="3"/>
  <c r="F6" i="3"/>
</calcChain>
</file>

<file path=xl/sharedStrings.xml><?xml version="1.0" encoding="utf-8"?>
<sst xmlns="http://schemas.openxmlformats.org/spreadsheetml/2006/main" count="3336" uniqueCount="559">
  <si>
    <t>LAST NAME, FIRST NAME</t>
  </si>
  <si>
    <t>MRN</t>
  </si>
  <si>
    <t>1st fraction</t>
  </si>
  <si>
    <t>Last Follow-up</t>
  </si>
  <si>
    <t>Length of Follow-up</t>
  </si>
  <si>
    <t>Arm</t>
  </si>
  <si>
    <t>Lost to Followup? 0=no 1=yes x=passed away</t>
  </si>
  <si>
    <t>Vital Status 0=dead 1=alive</t>
  </si>
  <si>
    <t>Late GU</t>
  </si>
  <si>
    <t>Cystitis</t>
  </si>
  <si>
    <t>Hematuria</t>
  </si>
  <si>
    <t>Urinary Frequency</t>
  </si>
  <si>
    <t>Urinary Incontinence</t>
  </si>
  <si>
    <t>Urinary Retention</t>
  </si>
  <si>
    <t>UTI</t>
  </si>
  <si>
    <t>Urinary Urgency</t>
  </si>
  <si>
    <t>Dysuria</t>
  </si>
  <si>
    <t>a-blocker prescribed</t>
  </si>
  <si>
    <t>adding a-blocker only grade 2</t>
  </si>
  <si>
    <t>Steroid prescribed</t>
  </si>
  <si>
    <t>Narrative</t>
  </si>
  <si>
    <t>Late GI</t>
  </si>
  <si>
    <t>Colitis</t>
  </si>
  <si>
    <t>Constipation</t>
  </si>
  <si>
    <t>Diarrhea</t>
  </si>
  <si>
    <t>Nausea</t>
  </si>
  <si>
    <t>Proctitis</t>
  </si>
  <si>
    <t>GI Hemorrhage</t>
  </si>
  <si>
    <t>Rectal Pain</t>
  </si>
  <si>
    <t>Sex</t>
  </si>
  <si>
    <t>ED</t>
  </si>
  <si>
    <t>Uchiyama, Don Takemi</t>
  </si>
  <si>
    <t>CT guided SBRT</t>
  </si>
  <si>
    <t>Healy, Gerard "Jerry"</t>
  </si>
  <si>
    <t>Stone, Dennis Joel</t>
  </si>
  <si>
    <t>Robbins, Gary</t>
  </si>
  <si>
    <t>CT guided</t>
  </si>
  <si>
    <t>pt missed 2yr f/u; last f/u was 3 y post-RT</t>
  </si>
  <si>
    <t>Cooper, Robert MD</t>
  </si>
  <si>
    <t>Fletcher, Nicholas</t>
  </si>
  <si>
    <t>MRgRT</t>
  </si>
  <si>
    <t>Roohani, Rustam</t>
  </si>
  <si>
    <t>Ehrenberg, Dr. Matthew J.</t>
  </si>
  <si>
    <t>Rowell, David</t>
  </si>
  <si>
    <t>pt lost to f/u; last f/u was 3 y post-RT</t>
  </si>
  <si>
    <t>Taylor, Robert "Bob" Louis</t>
  </si>
  <si>
    <t>using Trimix injections for ED</t>
  </si>
  <si>
    <t>Sousa, Walter Joseph</t>
  </si>
  <si>
    <t>Smith, Scott M., MD</t>
  </si>
  <si>
    <t>MRI-guided</t>
  </si>
  <si>
    <t>ocassional fecal leakage</t>
  </si>
  <si>
    <t>Dees, Rigdon O.</t>
  </si>
  <si>
    <t>pt lost to f/u, last seen at 2y and 9mo post RT</t>
  </si>
  <si>
    <t>Lewinstein, Benaviv</t>
  </si>
  <si>
    <t>Mackenzie, Robert "Bruce</t>
  </si>
  <si>
    <t>Gabree, John</t>
  </si>
  <si>
    <t>Boyd, Douglas</t>
  </si>
  <si>
    <t>Vogt, Donald</t>
  </si>
  <si>
    <t>Dean, Herbert J. Jr.</t>
  </si>
  <si>
    <t>Brunelle, Michael T.</t>
  </si>
  <si>
    <t>Harmon, Robert "Bob"</t>
  </si>
  <si>
    <t>Newport, Robert F.</t>
  </si>
  <si>
    <t>Giardina, Thomas P.</t>
  </si>
  <si>
    <t>Felder, David</t>
  </si>
  <si>
    <t>Howard, Edwin</t>
  </si>
  <si>
    <t>MRI guided</t>
  </si>
  <si>
    <t>Mitchell, Timothy</t>
  </si>
  <si>
    <t>Tumelty, William "Bill"</t>
  </si>
  <si>
    <t>Villard, Dimitri</t>
  </si>
  <si>
    <t>Van Der Wal, Fred R</t>
  </si>
  <si>
    <t>Robertson, Carlton</t>
  </si>
  <si>
    <t>Quinn, Andrew</t>
  </si>
  <si>
    <t xml:space="preserve">Grier, Roland L. </t>
  </si>
  <si>
    <t>CT_guided</t>
  </si>
  <si>
    <t>Romito, Larry</t>
  </si>
  <si>
    <t>Bell, James</t>
  </si>
  <si>
    <t>Johnson, Gerald Fulton</t>
  </si>
  <si>
    <t>Gilmore, James</t>
  </si>
  <si>
    <t>Hibbert, Neil A.</t>
  </si>
  <si>
    <t>Hogan, James "Ed"</t>
  </si>
  <si>
    <t>Pagkatipunan, Ruben</t>
  </si>
  <si>
    <t>Mason, Andrew</t>
  </si>
  <si>
    <t>Klepner, Martin "Mike"</t>
  </si>
  <si>
    <t>Venezia, Michael Sean</t>
  </si>
  <si>
    <t xml:space="preserve">Weichselbaum, Joseph "Joe"  </t>
  </si>
  <si>
    <t>Pollock, William H "Bill"</t>
  </si>
  <si>
    <t>Berman, John Michael</t>
  </si>
  <si>
    <t>Eriksen, Darrell</t>
  </si>
  <si>
    <t>Buford, Cole</t>
  </si>
  <si>
    <t>Turner, Dale Edward</t>
  </si>
  <si>
    <t>McIntire, James Halsey</t>
  </si>
  <si>
    <t>Hart, William</t>
  </si>
  <si>
    <t>McEvoy, Brian</t>
  </si>
  <si>
    <t xml:space="preserve">Kitt, MD, Victor V. </t>
  </si>
  <si>
    <t>Hamamoto, Takeshi</t>
  </si>
  <si>
    <t>Ginsberg, Bernard</t>
  </si>
  <si>
    <t>Chin, William</t>
  </si>
  <si>
    <t>Jamison, Dean T.</t>
  </si>
  <si>
    <t>Harvey, Robert Dave</t>
  </si>
  <si>
    <t>Keegan, Donald</t>
  </si>
  <si>
    <t>Graham, David M.</t>
  </si>
  <si>
    <t>Rubino, Thomas R.</t>
  </si>
  <si>
    <t xml:space="preserve">no show at 24mo appointment </t>
  </si>
  <si>
    <t>Carvalho, Dominic L.</t>
  </si>
  <si>
    <t>Ashby , Michael</t>
  </si>
  <si>
    <t>Fonta Ramos, Lazaro</t>
  </si>
  <si>
    <t>Farkas, Craig</t>
  </si>
  <si>
    <t>Poznansky, Abraham</t>
  </si>
  <si>
    <t>Schulz, Friedmann</t>
  </si>
  <si>
    <t>Josephs, Erich</t>
  </si>
  <si>
    <t>Myers, Marc</t>
  </si>
  <si>
    <t>Stepanian, Steven Harry "Steve"</t>
  </si>
  <si>
    <t>Niemi, David Michael</t>
  </si>
  <si>
    <t>Myers, Michael</t>
  </si>
  <si>
    <t>Naranjo, Antonio</t>
  </si>
  <si>
    <t>Altschul, David</t>
  </si>
  <si>
    <t>McCallum, Hugh B.</t>
  </si>
  <si>
    <t>Vartanian, Raymond</t>
  </si>
  <si>
    <t>Heinzerling, Henry W.</t>
  </si>
  <si>
    <t>Desmet, Bernard</t>
  </si>
  <si>
    <t>Billings, Dennis</t>
  </si>
  <si>
    <t>Sisson, Gary A.</t>
  </si>
  <si>
    <t>Myrtle, James "Jim" F.</t>
  </si>
  <si>
    <t>Mathur, Gopal P</t>
  </si>
  <si>
    <t xml:space="preserve">Fjelstad, Dale </t>
  </si>
  <si>
    <t xml:space="preserve">Heayn, Mark E. </t>
  </si>
  <si>
    <t>Ramos, Melchor M.</t>
  </si>
  <si>
    <t>Bochinski, James "Jim" C.</t>
  </si>
  <si>
    <t>Strauss, Erik Riner</t>
  </si>
  <si>
    <t>Houghton, James "Jim" Carter</t>
  </si>
  <si>
    <t>Littman, Robert</t>
  </si>
  <si>
    <t>Koskie, William J.</t>
  </si>
  <si>
    <t xml:space="preserve">French, MD, William J. </t>
  </si>
  <si>
    <t>Malin, Barnet David</t>
  </si>
  <si>
    <t>Grad, Benjamin</t>
  </si>
  <si>
    <t>Freeman, Dan "Don" C.</t>
  </si>
  <si>
    <t>Frost, Earnest</t>
  </si>
  <si>
    <t>Bardowell MD, Richard J.</t>
  </si>
  <si>
    <t xml:space="preserve">median F/U </t>
  </si>
  <si>
    <t>McCall, Hiram</t>
  </si>
  <si>
    <t>1710076</t>
  </si>
  <si>
    <t>CT Guided</t>
  </si>
  <si>
    <t>Lucero, Albert</t>
  </si>
  <si>
    <t>3057228</t>
  </si>
  <si>
    <t>Houston, Larry</t>
  </si>
  <si>
    <t>4758470</t>
  </si>
  <si>
    <t>Choi, Bruce</t>
  </si>
  <si>
    <t>4981958</t>
  </si>
  <si>
    <t>MRI-Guided</t>
  </si>
  <si>
    <t>last f/u was at 20mo</t>
  </si>
  <si>
    <t>Zilberman, Rudolf</t>
  </si>
  <si>
    <t>4176771</t>
  </si>
  <si>
    <t>pt deceased 29mo after RT; last f/u was at 17mo</t>
  </si>
  <si>
    <t>Bull, Charles Marsh</t>
  </si>
  <si>
    <t>Dickinson, Richard</t>
  </si>
  <si>
    <t>6360309</t>
  </si>
  <si>
    <t>DeFeyter, Ken</t>
  </si>
  <si>
    <t>6514540</t>
  </si>
  <si>
    <t>Mayer, Sandy</t>
  </si>
  <si>
    <t>Mohn, Jarl</t>
  </si>
  <si>
    <t>3847228</t>
  </si>
  <si>
    <t>Shah, Abhay</t>
  </si>
  <si>
    <t>6682931</t>
  </si>
  <si>
    <t>last f/u was at 7mo</t>
  </si>
  <si>
    <t>Trainor, Michael W.</t>
  </si>
  <si>
    <t>Hamilton, Craig</t>
  </si>
  <si>
    <t>6690687</t>
  </si>
  <si>
    <t>Strygin, Antoliy</t>
  </si>
  <si>
    <t>Davis, Steven</t>
  </si>
  <si>
    <t>Krantz, Ian</t>
  </si>
  <si>
    <t>pt was f/u at 21mo</t>
  </si>
  <si>
    <t>CT</t>
  </si>
  <si>
    <t>x</t>
  </si>
  <si>
    <t>Littell, Gary Scott</t>
  </si>
  <si>
    <t>Lipton, Robert A</t>
  </si>
  <si>
    <t>Vander Borght, Jef J</t>
  </si>
  <si>
    <t>multiple meds, hematuria, scope, improving on tropsium</t>
  </si>
  <si>
    <t>Christensen, Daen Jay</t>
  </si>
  <si>
    <t>Limcolioc, Ramon</t>
  </si>
  <si>
    <t>put on FLOMAX acutely, still on (failed a wean)</t>
  </si>
  <si>
    <t>Sanchez, Joseph L  Jr</t>
  </si>
  <si>
    <t>incontinence at 18 mos improved</t>
  </si>
  <si>
    <t>Vasilj, Ivan</t>
  </si>
  <si>
    <t>did have a g3 botox30 months after</t>
  </si>
  <si>
    <t>Balbona, Joseph A.</t>
  </si>
  <si>
    <t>Erickson, Kevin O.</t>
  </si>
  <si>
    <t>Meltzer, David</t>
  </si>
  <si>
    <t>Harouni, Shamouel</t>
  </si>
  <si>
    <t>Keegan, James "Jim" E</t>
  </si>
  <si>
    <t>Keister, Carl G</t>
  </si>
  <si>
    <t>Dumke, Richard M</t>
  </si>
  <si>
    <t>adding back oxybutynin</t>
  </si>
  <si>
    <t>Chan, Andrew</t>
  </si>
  <si>
    <t>Alfusozin</t>
  </si>
  <si>
    <t>Marshall, John</t>
  </si>
  <si>
    <t>Buscho, Lane Myron</t>
  </si>
  <si>
    <t>Torp, Jonathan W</t>
  </si>
  <si>
    <t>Lysaght, Thomas John</t>
  </si>
  <si>
    <t>Ulrich, Leslie J</t>
  </si>
  <si>
    <t>Beralas, Daniel</t>
  </si>
  <si>
    <t>continued</t>
  </si>
  <si>
    <t>rx anusol</t>
  </si>
  <si>
    <t>Anderson, M. Michael</t>
  </si>
  <si>
    <t>medications</t>
  </si>
  <si>
    <t>Leach, David</t>
  </si>
  <si>
    <t>Korven, Curtis Robert</t>
  </si>
  <si>
    <t>Troop, Richard B.</t>
  </si>
  <si>
    <t>Urolift done on 7/27/23</t>
  </si>
  <si>
    <t>Mayer, John J.</t>
  </si>
  <si>
    <t>went on to get grade 2 with carafate enema in 3 months</t>
  </si>
  <si>
    <t>Deeble, Edward W</t>
  </si>
  <si>
    <t>Bryan, George</t>
  </si>
  <si>
    <t>failed wean of flomax</t>
  </si>
  <si>
    <t>Summer, Donald</t>
  </si>
  <si>
    <t>Klingsberg, Howard</t>
  </si>
  <si>
    <t>flomax at 24 months</t>
  </si>
  <si>
    <t>Udden, Lauren J.</t>
  </si>
  <si>
    <t>Wittman, Alain</t>
  </si>
  <si>
    <t>Balton, Jeffrey R.</t>
  </si>
  <si>
    <t>Mecklin, John</t>
  </si>
  <si>
    <t>urgency at 24 months, gemtesa</t>
  </si>
  <si>
    <t>Watana, Viroj "Vic"</t>
  </si>
  <si>
    <t>off meds at 24 months</t>
  </si>
  <si>
    <t>Asher, Sheldon "Shelly"</t>
  </si>
  <si>
    <t>Chait, (MD) Howard I.</t>
  </si>
  <si>
    <t>bleeding resolved, no need for HBOT. Has cystoscopy previously concerned for cystitis. On multiple med</t>
  </si>
  <si>
    <t>Drentlaw, Dean E.</t>
  </si>
  <si>
    <t>Brill, Michael S.</t>
  </si>
  <si>
    <t>Lemke, John</t>
  </si>
  <si>
    <t>Hogan, Cary Don</t>
  </si>
  <si>
    <t>Matinpour, Hamid</t>
  </si>
  <si>
    <t>2 flomax daily remains</t>
  </si>
  <si>
    <t>occasional fecal leakage</t>
  </si>
  <si>
    <t>Chattopadhyay, Kallol</t>
  </si>
  <si>
    <t>Significant hematuria + dysuria needed HBOT</t>
  </si>
  <si>
    <t xml:space="preserve">Kilker, Patrick </t>
  </si>
  <si>
    <t>hematuria, ui, on meds</t>
  </si>
  <si>
    <t>Riddle, Rodney "Rod" T.</t>
  </si>
  <si>
    <t>Newman, David L.</t>
  </si>
  <si>
    <t>Rossilli, Paul "Gastone"</t>
  </si>
  <si>
    <t>Zimbaldi, Daniel C.</t>
  </si>
  <si>
    <t>Patel, Abdul K.</t>
  </si>
  <si>
    <t>MRI</t>
  </si>
  <si>
    <t>`</t>
  </si>
  <si>
    <t>Coleman, Thomas</t>
  </si>
  <si>
    <t>Nathanson, Daniel H</t>
  </si>
  <si>
    <t>symptoms largely resolved on HBOT</t>
  </si>
  <si>
    <t>Wales, Scott T</t>
  </si>
  <si>
    <t>removed flomax at 2 year</t>
  </si>
  <si>
    <t>St Clair, Orvel "Dean"</t>
  </si>
  <si>
    <t>Davidson, David J</t>
  </si>
  <si>
    <t>Martinez, Gino</t>
  </si>
  <si>
    <t>Chang, Arthur William</t>
  </si>
  <si>
    <t>(post grade 3 at 18 months)</t>
  </si>
  <si>
    <t>Earle, Charles David</t>
  </si>
  <si>
    <t xml:space="preserve">Deats, Richard F. </t>
  </si>
  <si>
    <t>Shore, Michael Steven</t>
  </si>
  <si>
    <t>Yaghobian, Manoucher</t>
  </si>
  <si>
    <t>Steppe, Michael</t>
  </si>
  <si>
    <t>Whalen, Richard</t>
  </si>
  <si>
    <t>Desilva, David</t>
  </si>
  <si>
    <t>Hand, Clarence "Max"</t>
  </si>
  <si>
    <t>Xiong, Chuhu</t>
  </si>
  <si>
    <t xml:space="preserve">On meds at 2 year mark. Moved to Wisconsin. </t>
  </si>
  <si>
    <t>Cao, Jin</t>
  </si>
  <si>
    <t>Felber, David</t>
  </si>
  <si>
    <t>Wenk, Gregory Laverne</t>
  </si>
  <si>
    <t>Yadegar, Saeed</t>
  </si>
  <si>
    <t>Natland, Richard</t>
  </si>
  <si>
    <t>Copeland, Tracy E</t>
  </si>
  <si>
    <t xml:space="preserve">Grinshteyn, Yakov </t>
  </si>
  <si>
    <t>Jordain, Kim</t>
  </si>
  <si>
    <t>Gauvin, Randy</t>
  </si>
  <si>
    <t>Gumieny, Dennis W.</t>
  </si>
  <si>
    <t>Nwapa Jourdan, Augustine "Austin"</t>
  </si>
  <si>
    <t>McCarrick, Robert "Bob" Edmund</t>
  </si>
  <si>
    <t xml:space="preserve">Olvera, Octavio </t>
  </si>
  <si>
    <t>Mihalik, Robert J.</t>
  </si>
  <si>
    <t>The patient did have grade 2 acute urinary bother, with gross hematuria and urinary frequency + 4-6x nocturia at the 1 month mark. He had a cystoscopy and was found to have a 1.5 cm bladder stone. The hematuria resolved itself by August, but he had lingering grade 1 frequency and urgency, with nocturia 2-4x by 4 months post RT. He was on Toviaz for this. However, per Dr. Philips, he continued to have ball-valving from the stone, and therefore a laser stone removal was done on 8/8/22; due to pre-existing primary overactive bladder, a Urolift was done as well. Dr. Philips does not believe radiation contributed to either.</t>
  </si>
  <si>
    <t>Pascua, Manuel Noble</t>
  </si>
  <si>
    <t>all grade 2 resolved by 2 years</t>
  </si>
  <si>
    <t>Pierce, Emmet</t>
  </si>
  <si>
    <t>Lok, Peter</t>
  </si>
  <si>
    <t>Sbardellati, James Dino</t>
  </si>
  <si>
    <t>Lavicka, Lad Vladislav</t>
  </si>
  <si>
    <t>Nissing, James Milton</t>
  </si>
  <si>
    <t>Nezis, George T</t>
  </si>
  <si>
    <t>Cornet, Jeanclaude M.</t>
  </si>
  <si>
    <t>Sabolch, Dr. Peter</t>
  </si>
  <si>
    <t>Lurie, Robert</t>
  </si>
  <si>
    <t>Wallner, James J.</t>
  </si>
  <si>
    <t>Remains on it</t>
  </si>
  <si>
    <t>Nownes, James Emmet "Jim"</t>
  </si>
  <si>
    <t>2-3 times a week some leakage.</t>
  </si>
  <si>
    <t>Jones, Joe D.</t>
  </si>
  <si>
    <t>Righetti, Paul T.</t>
  </si>
  <si>
    <t xml:space="preserve">Grimm, Gregory </t>
  </si>
  <si>
    <t>Fried, Dennis Warren</t>
  </si>
  <si>
    <t xml:space="preserve">Elmi, Caesar </t>
  </si>
  <si>
    <t>Green, Jeffrey M.</t>
  </si>
  <si>
    <t>Stamps, Burley</t>
  </si>
  <si>
    <t>pt missed 2yr f/u; last f/u was 18mo</t>
  </si>
  <si>
    <t>pt lost to f/u; last f/u was 1 y post-RT</t>
  </si>
  <si>
    <t>pt lost to f/u; last f/u was 36 mo post-RT</t>
  </si>
  <si>
    <t>pt lost to f/u, last seen at 9mo post RT</t>
  </si>
  <si>
    <t>pt lost to f/u, last seen at 12mo post RT</t>
  </si>
  <si>
    <t>pt lost to f/u; last seen at 3mo post RT</t>
  </si>
  <si>
    <t>pt lost to f/u; last seen at 6mo post RT</t>
  </si>
  <si>
    <t>GARUDA-ID</t>
  </si>
  <si>
    <t>GAR004</t>
  </si>
  <si>
    <t>GAR005</t>
  </si>
  <si>
    <t>GAR149</t>
  </si>
  <si>
    <t>GAR021</t>
  </si>
  <si>
    <t>GAR009</t>
  </si>
  <si>
    <t>GAR030</t>
  </si>
  <si>
    <t>GAR020</t>
  </si>
  <si>
    <t>GAR001</t>
  </si>
  <si>
    <t>GAR023</t>
  </si>
  <si>
    <t>GAR011</t>
  </si>
  <si>
    <t>GAR008</t>
  </si>
  <si>
    <t>GAR006</t>
  </si>
  <si>
    <t>GAR031</t>
  </si>
  <si>
    <t>GAR002</t>
  </si>
  <si>
    <t>GAR007</t>
  </si>
  <si>
    <t>GAR196</t>
  </si>
  <si>
    <t>GAR012</t>
  </si>
  <si>
    <t>GAR256</t>
  </si>
  <si>
    <t>GAR257</t>
  </si>
  <si>
    <t>GAR014</t>
  </si>
  <si>
    <t>GAR240</t>
  </si>
  <si>
    <t>GAR015</t>
  </si>
  <si>
    <t>GAR292</t>
  </si>
  <si>
    <t>GAR019</t>
  </si>
  <si>
    <t>GAR241</t>
  </si>
  <si>
    <t>GAR016</t>
  </si>
  <si>
    <t>GAR024</t>
  </si>
  <si>
    <t>GAR218</t>
  </si>
  <si>
    <t>GAR268</t>
  </si>
  <si>
    <t>GAR029</t>
  </si>
  <si>
    <t>GAR267</t>
  </si>
  <si>
    <t>GAR294</t>
  </si>
  <si>
    <t>GAR287</t>
  </si>
  <si>
    <t>GAR235</t>
  </si>
  <si>
    <t>GAR032</t>
  </si>
  <si>
    <t>GAR033</t>
  </si>
  <si>
    <t>GAR036</t>
  </si>
  <si>
    <t>GAR037</t>
  </si>
  <si>
    <t>GAR182</t>
  </si>
  <si>
    <t>GAR039</t>
  </si>
  <si>
    <t>GAR229</t>
  </si>
  <si>
    <t>GAR041</t>
  </si>
  <si>
    <t>GAR022</t>
  </si>
  <si>
    <t>GAR216</t>
  </si>
  <si>
    <t>GAR043</t>
  </si>
  <si>
    <t>GAR051</t>
  </si>
  <si>
    <t>GAR042</t>
  </si>
  <si>
    <t>GAR025</t>
  </si>
  <si>
    <t>GAR048</t>
  </si>
  <si>
    <t>GAR054</t>
  </si>
  <si>
    <t>GAR044</t>
  </si>
  <si>
    <t>GAR273</t>
  </si>
  <si>
    <t>GAR059</t>
  </si>
  <si>
    <t>GAR058</t>
  </si>
  <si>
    <t>GAR245</t>
  </si>
  <si>
    <t>GAR230</t>
  </si>
  <si>
    <t>GAR057</t>
  </si>
  <si>
    <t>GAR183</t>
  </si>
  <si>
    <t>GAR060</t>
  </si>
  <si>
    <t>GAR028</t>
  </si>
  <si>
    <t>GAR061</t>
  </si>
  <si>
    <t>GAR064</t>
  </si>
  <si>
    <t>GAR062</t>
  </si>
  <si>
    <t>GAR065</t>
  </si>
  <si>
    <t>GAR071</t>
  </si>
  <si>
    <t>GAR214</t>
  </si>
  <si>
    <t>GAR070</t>
  </si>
  <si>
    <t>GAR156</t>
  </si>
  <si>
    <t>GAR202</t>
  </si>
  <si>
    <t>GAR074</t>
  </si>
  <si>
    <t>GAR072</t>
  </si>
  <si>
    <t>GAR169</t>
  </si>
  <si>
    <t>GAR234</t>
  </si>
  <si>
    <t>GAR207</t>
  </si>
  <si>
    <t>GAR285</t>
  </si>
  <si>
    <t>GAR075</t>
  </si>
  <si>
    <t>GAR213</t>
  </si>
  <si>
    <t>GAR249</t>
  </si>
  <si>
    <t>GAR076</t>
  </si>
  <si>
    <t>GAR079</t>
  </si>
  <si>
    <t>GAR078</t>
  </si>
  <si>
    <t>GAR080</t>
  </si>
  <si>
    <t>GAR269</t>
  </si>
  <si>
    <t>GAR084</t>
  </si>
  <si>
    <t>GAR112</t>
  </si>
  <si>
    <t>GAR085</t>
  </si>
  <si>
    <t>GAR086</t>
  </si>
  <si>
    <t>GAR237</t>
  </si>
  <si>
    <t>GAR217</t>
  </si>
  <si>
    <t>GAR193</t>
  </si>
  <si>
    <t>GAR260</t>
  </si>
  <si>
    <t>GAR248</t>
  </si>
  <si>
    <t>GAR092</t>
  </si>
  <si>
    <t>GAR093</t>
  </si>
  <si>
    <t>GAR063</t>
  </si>
  <si>
    <t>GAR094</t>
  </si>
  <si>
    <t>GAR284</t>
  </si>
  <si>
    <t>GAR167</t>
  </si>
  <si>
    <t>GAR233</t>
  </si>
  <si>
    <t>GAR097</t>
  </si>
  <si>
    <t>GAR144</t>
  </si>
  <si>
    <t>GAR170</t>
  </si>
  <si>
    <t>GAR279</t>
  </si>
  <si>
    <t>GAR098</t>
  </si>
  <si>
    <t>GAR184</t>
  </si>
  <si>
    <t>GAR099</t>
  </si>
  <si>
    <t>GAR100</t>
  </si>
  <si>
    <t>GAR101</t>
  </si>
  <si>
    <t>GAR291</t>
  </si>
  <si>
    <t>GAR270</t>
  </si>
  <si>
    <t>GAR281</t>
  </si>
  <si>
    <t>GAR105</t>
  </si>
  <si>
    <t>GAR035</t>
  </si>
  <si>
    <t>GAR189</t>
  </si>
  <si>
    <t>GAR251</t>
  </si>
  <si>
    <t>GAR106</t>
  </si>
  <si>
    <t>GAR108</t>
  </si>
  <si>
    <t>GAR113</t>
  </si>
  <si>
    <t>GAR114</t>
  </si>
  <si>
    <t>GAR121</t>
  </si>
  <si>
    <t>GAR208</t>
  </si>
  <si>
    <t>GAR254</t>
  </si>
  <si>
    <t>GAR212</t>
  </si>
  <si>
    <t>GAR219</t>
  </si>
  <si>
    <t>GAR122</t>
  </si>
  <si>
    <t>GAR215</t>
  </si>
  <si>
    <t>GAR119</t>
  </si>
  <si>
    <t>GAR192</t>
  </si>
  <si>
    <t>GAR171</t>
  </si>
  <si>
    <t>GAR236</t>
  </si>
  <si>
    <t>GAR120</t>
  </si>
  <si>
    <t>GAR123</t>
  </si>
  <si>
    <t>GAR125</t>
  </si>
  <si>
    <t>GAR126</t>
  </si>
  <si>
    <t>GAR180</t>
  </si>
  <si>
    <t>GAR130</t>
  </si>
  <si>
    <t>GAR131</t>
  </si>
  <si>
    <t>GAR161</t>
  </si>
  <si>
    <t>GAR132</t>
  </si>
  <si>
    <t>GAR133</t>
  </si>
  <si>
    <t>GAR134</t>
  </si>
  <si>
    <t>GAR200</t>
  </si>
  <si>
    <t>GAR255</t>
  </si>
  <si>
    <t>GAR262</t>
  </si>
  <si>
    <t>GAR135</t>
  </si>
  <si>
    <t>GAR066</t>
  </si>
  <si>
    <t>GAR136</t>
  </si>
  <si>
    <t>GAR137</t>
  </si>
  <si>
    <t>GAR223</t>
  </si>
  <si>
    <t>GAR168</t>
  </si>
  <si>
    <t>GAR253</t>
  </si>
  <si>
    <t>GAR140</t>
  </si>
  <si>
    <t>GAR139</t>
  </si>
  <si>
    <t>GAR138</t>
  </si>
  <si>
    <t>GAR173</t>
  </si>
  <si>
    <t>GAR142</t>
  </si>
  <si>
    <t>GAR282</t>
  </si>
  <si>
    <t>GAR143</t>
  </si>
  <si>
    <t>GAR148</t>
  </si>
  <si>
    <t>GAR264</t>
  </si>
  <si>
    <t>GAR147</t>
  </si>
  <si>
    <t>GAR150</t>
  </si>
  <si>
    <t>GAR045</t>
  </si>
  <si>
    <t>GAR146</t>
  </si>
  <si>
    <t>GAR199</t>
  </si>
  <si>
    <t>GAR154</t>
  </si>
  <si>
    <t>GAR295</t>
  </si>
  <si>
    <t>GAR096</t>
  </si>
  <si>
    <t>GAR178</t>
  </si>
  <si>
    <t>GAR153</t>
  </si>
  <si>
    <t>GAR155</t>
  </si>
  <si>
    <t>GAR145</t>
  </si>
  <si>
    <t>GAR104</t>
  </si>
  <si>
    <t>GAR162</t>
  </si>
  <si>
    <t>GAR159</t>
  </si>
  <si>
    <t>GAR110</t>
  </si>
  <si>
    <t>GAR163</t>
  </si>
  <si>
    <t>GAR158</t>
  </si>
  <si>
    <t>GAR204</t>
  </si>
  <si>
    <t>GAR151</t>
  </si>
  <si>
    <t>GAR185</t>
  </si>
  <si>
    <t>GAR165</t>
  </si>
  <si>
    <t>GAR244</t>
  </si>
  <si>
    <t>GAR247</t>
  </si>
  <si>
    <t>GAR179</t>
  </si>
  <si>
    <t>GAR209</t>
  </si>
  <si>
    <t>GAR297</t>
  </si>
  <si>
    <t>GAR263</t>
  </si>
  <si>
    <t>GAR271</t>
  </si>
  <si>
    <t>GAR261</t>
  </si>
  <si>
    <t>GAR272</t>
  </si>
  <si>
    <t>GAR274</t>
  </si>
  <si>
    <t>GAR293</t>
  </si>
  <si>
    <t>GAR289</t>
  </si>
  <si>
    <t>GAR290</t>
  </si>
  <si>
    <t>GAR017</t>
  </si>
  <si>
    <t>GAR018</t>
  </si>
  <si>
    <t>GAR174</t>
  </si>
  <si>
    <t>GAR107</t>
  </si>
  <si>
    <t>GAR081</t>
  </si>
  <si>
    <t>GAR095</t>
  </si>
  <si>
    <t>GAR116</t>
  </si>
  <si>
    <t>GAR117</t>
  </si>
  <si>
    <t>GAR228</t>
  </si>
  <si>
    <t>GAR242</t>
  </si>
  <si>
    <t>GAR091</t>
  </si>
  <si>
    <t>Risk Status</t>
  </si>
  <si>
    <t>GARUDA ID</t>
  </si>
  <si>
    <t>Low Risk</t>
  </si>
  <si>
    <t>High Risk</t>
  </si>
  <si>
    <t>pain, inflammation, bleed</t>
  </si>
  <si>
    <t>added increased silodosin + oxybutynin</t>
  </si>
  <si>
    <t>anusol</t>
  </si>
  <si>
    <t>silodosin, pads</t>
  </si>
  <si>
    <t>flatulence</t>
  </si>
  <si>
    <t>urgency/dysuria needing med</t>
  </si>
  <si>
    <t>Missed this followup?? 
0=no 1=yes x=passed away</t>
  </si>
  <si>
    <t>Vital Status 
0=dead 1=alive</t>
  </si>
  <si>
    <t>pain, dysuria, bleeding, needed steroids + pyridium</t>
  </si>
  <si>
    <t>pads</t>
  </si>
  <si>
    <t>cysto showing pale bladder/urinary neck. Rec HBOT</t>
  </si>
  <si>
    <t xml:space="preserve">rectal bleeding likely hemorrhoidal </t>
  </si>
  <si>
    <t>urinary sx mild and similar to baseline</t>
  </si>
  <si>
    <t>fecal urgency and stool incontinence</t>
  </si>
  <si>
    <t>flare-up of microscopic colitis</t>
  </si>
  <si>
    <t>hx of hemorrhoidal bleeding</t>
  </si>
  <si>
    <t>flomax, doxazosin, solifenacin</t>
  </si>
  <si>
    <t>taking solifenacin</t>
  </si>
  <si>
    <t>carafate enema</t>
  </si>
  <si>
    <t>APC in August 2022. Stopped rectal bleeding, urgency persisted</t>
  </si>
  <si>
    <t>12 months flare, went on pyridium, myrbetriq, solifenacin</t>
  </si>
  <si>
    <t>rx medrol</t>
  </si>
  <si>
    <t>needed steroids</t>
  </si>
  <si>
    <t>flomax at 1 year</t>
  </si>
  <si>
    <t>gave meds at 12 month mark</t>
  </si>
  <si>
    <t>perineal pain</t>
  </si>
  <si>
    <t>adding flomax</t>
  </si>
  <si>
    <t>pt was f/u at 15mo post-RT, instead of 12mo</t>
  </si>
  <si>
    <t xml:space="preserve">controlled microscopic colitis </t>
  </si>
  <si>
    <t xml:space="preserve">long hx of prostatitis </t>
  </si>
  <si>
    <t>unclear whether GU symptoms related to RT vs dementia</t>
  </si>
  <si>
    <t>myrbetriq</t>
  </si>
  <si>
    <t>oxybtynin, flomax</t>
  </si>
  <si>
    <t>rx medrol, dysuria</t>
  </si>
  <si>
    <t xml:space="preserve">He developed urinary retention due to blood cloths on 12/9/2022, Foley was placed /
He saw Dr. Parth Patel (Urology) on 12/14/2022 for follow-up and foley removal.  Cystoscopy showed posterior wall edema, global hyperemia and numerous telangiectasia throughout the bladder. No suspicious lesions. 
</t>
  </si>
  <si>
    <t>leakage x1</t>
  </si>
  <si>
    <t xml:space="preserve">Significant hematuria, had cysto and clot was fragmented. </t>
  </si>
  <si>
    <t>Urolift procedure with Dr. Saigal on 4/4/2022</t>
  </si>
  <si>
    <t>few days of prostatitis</t>
  </si>
  <si>
    <t>flomax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</si>
</sst>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14" fontId="4" fillId="0" borderId="0" xfId="0" applyNumberFormat="1" applyFont="1" applyFill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14" fontId="4" fillId="7" borderId="0" xfId="0" applyNumberFormat="1" applyFont="1" applyFill="1" applyBorder="1" applyAlignment="1">
      <alignment horizontal="center" vertical="top"/>
    </xf>
    <xf numFmtId="0" fontId="4" fillId="7" borderId="0" xfId="0" applyFont="1" applyFill="1" applyBorder="1" applyAlignment="1">
      <alignment horizontal="left" vertical="top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4" fontId="5" fillId="0" borderId="0" xfId="0" applyNumberFormat="1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2" fontId="0" fillId="0" borderId="0" xfId="0" applyNumberFormat="1"/>
    <xf numFmtId="49" fontId="7" fillId="9" borderId="2" xfId="0" applyNumberFormat="1" applyFont="1" applyFill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0" fillId="0" borderId="0" xfId="0" applyFill="1" applyBorder="1"/>
    <xf numFmtId="0" fontId="4" fillId="5" borderId="0" xfId="0" applyNumberFormat="1" applyFont="1" applyFill="1" applyBorder="1" applyAlignment="1">
      <alignment horizontal="left" vertical="top"/>
    </xf>
    <xf numFmtId="0" fontId="0" fillId="5" borderId="0" xfId="0" applyFill="1"/>
    <xf numFmtId="49" fontId="4" fillId="7" borderId="0" xfId="0" applyNumberFormat="1" applyFont="1" applyFill="1" applyBorder="1" applyAlignment="1">
      <alignment horizontal="left" vertical="top"/>
    </xf>
    <xf numFmtId="1" fontId="4" fillId="7" borderId="0" xfId="0" applyNumberFormat="1" applyFont="1" applyFill="1" applyBorder="1" applyAlignment="1">
      <alignment horizontal="left" vertical="top"/>
    </xf>
    <xf numFmtId="0" fontId="4" fillId="7" borderId="0" xfId="0" applyNumberFormat="1" applyFont="1" applyFill="1" applyBorder="1" applyAlignment="1">
      <alignment horizontal="left" vertical="top"/>
    </xf>
    <xf numFmtId="0" fontId="0" fillId="7" borderId="0" xfId="0" applyFill="1"/>
    <xf numFmtId="0" fontId="4" fillId="0" borderId="0" xfId="0" applyNumberFormat="1" applyFont="1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9" fillId="7" borderId="0" xfId="0" applyFont="1" applyFill="1" applyBorder="1" applyAlignment="1">
      <alignment horizontal="left" vertical="top"/>
    </xf>
    <xf numFmtId="49" fontId="0" fillId="5" borderId="0" xfId="0" applyNumberFormat="1" applyFill="1" applyBorder="1" applyAlignment="1">
      <alignment horizontal="left" vertical="top"/>
    </xf>
    <xf numFmtId="0" fontId="0" fillId="5" borderId="0" xfId="0" applyNumberForma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 applyAlignment="1">
      <alignment horizontal="left" vertical="top"/>
    </xf>
    <xf numFmtId="49" fontId="4" fillId="5" borderId="0" xfId="0" applyNumberFormat="1" applyFont="1" applyFill="1" applyBorder="1" applyAlignment="1">
      <alignment horizontal="left"/>
    </xf>
    <xf numFmtId="1" fontId="4" fillId="5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1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/>
    </xf>
    <xf numFmtId="1" fontId="5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 wrapText="1"/>
    </xf>
    <xf numFmtId="1" fontId="10" fillId="0" borderId="0" xfId="0" applyNumberFormat="1" applyFont="1" applyFill="1" applyBorder="1" applyAlignment="1">
      <alignment horizontal="left" vertical="top"/>
    </xf>
    <xf numFmtId="1" fontId="11" fillId="0" borderId="0" xfId="0" applyNumberFormat="1" applyFont="1" applyFill="1" applyBorder="1" applyAlignment="1">
      <alignment horizontal="left" vertical="top"/>
    </xf>
    <xf numFmtId="0" fontId="12" fillId="0" borderId="0" xfId="0" applyNumberFormat="1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" fontId="0" fillId="0" borderId="0" xfId="0" applyNumberFormat="1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left"/>
    </xf>
    <xf numFmtId="0" fontId="4" fillId="7" borderId="0" xfId="0" applyFont="1" applyFill="1" applyBorder="1"/>
    <xf numFmtId="0" fontId="4" fillId="0" borderId="0" xfId="0" applyNumberFormat="1" applyFon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 vertical="top"/>
    </xf>
    <xf numFmtId="1" fontId="6" fillId="0" borderId="0" xfId="0" applyNumberFormat="1" applyFont="1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center" vertical="top"/>
    </xf>
    <xf numFmtId="2" fontId="4" fillId="5" borderId="0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4" fillId="7" borderId="0" xfId="0" applyNumberFormat="1" applyFont="1" applyFill="1" applyBorder="1" applyAlignment="1">
      <alignment horizontal="center" vertical="top"/>
    </xf>
    <xf numFmtId="0" fontId="0" fillId="7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 vertical="top"/>
    </xf>
    <xf numFmtId="2" fontId="2" fillId="0" borderId="0" xfId="0" applyNumberFormat="1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top"/>
    </xf>
    <xf numFmtId="0" fontId="4" fillId="7" borderId="0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top"/>
    </xf>
    <xf numFmtId="14" fontId="4" fillId="5" borderId="0" xfId="0" applyNumberFormat="1" applyFont="1" applyFill="1" applyBorder="1" applyAlignment="1">
      <alignment horizontal="center" vertical="top"/>
    </xf>
    <xf numFmtId="14" fontId="12" fillId="0" borderId="0" xfId="0" applyNumberFormat="1" applyFont="1" applyFill="1" applyBorder="1" applyAlignment="1">
      <alignment horizontal="center" vertical="top"/>
    </xf>
    <xf numFmtId="14" fontId="12" fillId="7" borderId="0" xfId="0" applyNumberFormat="1" applyFont="1" applyFill="1" applyBorder="1" applyAlignment="1">
      <alignment horizontal="center" vertical="top"/>
    </xf>
    <xf numFmtId="0" fontId="12" fillId="8" borderId="0" xfId="0" applyNumberFormat="1" applyFont="1" applyFill="1" applyBorder="1" applyAlignment="1">
      <alignment horizontal="center" vertical="top"/>
    </xf>
    <xf numFmtId="0" fontId="0" fillId="8" borderId="0" xfId="0" applyFill="1" applyBorder="1" applyAlignment="1">
      <alignment horizontal="center"/>
    </xf>
    <xf numFmtId="0" fontId="0" fillId="8" borderId="0" xfId="0" applyNumberFormat="1" applyFill="1" applyBorder="1" applyAlignment="1">
      <alignment horizontal="center" vertical="top"/>
    </xf>
    <xf numFmtId="0" fontId="4" fillId="8" borderId="0" xfId="0" applyNumberFormat="1" applyFont="1" applyFill="1" applyBorder="1" applyAlignment="1">
      <alignment horizontal="center" vertical="top"/>
    </xf>
    <xf numFmtId="49" fontId="7" fillId="9" borderId="0" xfId="0" applyNumberFormat="1" applyFont="1" applyFill="1" applyBorder="1" applyAlignment="1">
      <alignment horizontal="left" vertical="top" wrapText="1"/>
    </xf>
    <xf numFmtId="0" fontId="5" fillId="0" borderId="0" xfId="0" applyFont="1" applyBorder="1"/>
    <xf numFmtId="49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Fill="1" applyBorder="1" applyAlignment="1">
      <alignment horizontal="left" wrapText="1"/>
    </xf>
    <xf numFmtId="0" fontId="6" fillId="0" borderId="0" xfId="0" applyFont="1" applyBorder="1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vertical="top" wrapText="1"/>
    </xf>
    <xf numFmtId="0" fontId="8" fillId="0" borderId="0" xfId="0" applyFont="1" applyBorder="1" applyAlignment="1">
      <alignment wrapText="1"/>
    </xf>
    <xf numFmtId="0" fontId="4" fillId="7" borderId="0" xfId="0" applyFont="1" applyFill="1" applyBorder="1" applyAlignment="1">
      <alignment horizontal="left"/>
    </xf>
    <xf numFmtId="49" fontId="0" fillId="0" borderId="0" xfId="0" applyNumberFormat="1" applyBorder="1" applyAlignment="1">
      <alignment horizontal="left" vertical="top"/>
    </xf>
    <xf numFmtId="0" fontId="6" fillId="0" borderId="0" xfId="0" applyFont="1" applyFill="1" applyBorder="1" applyAlignment="1">
      <alignment horizontal="left"/>
    </xf>
    <xf numFmtId="15" fontId="5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14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14" fillId="5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/>
    <xf numFmtId="0" fontId="0" fillId="7" borderId="0" xfId="0" applyFill="1" applyBorder="1"/>
    <xf numFmtId="1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4" fillId="7" borderId="0" xfId="0" applyFont="1" applyFill="1" applyBorder="1" applyAlignment="1">
      <alignment horizontal="left" vertical="top"/>
    </xf>
    <xf numFmtId="0" fontId="15" fillId="5" borderId="0" xfId="0" applyFont="1" applyFill="1" applyBorder="1" applyAlignment="1">
      <alignment horizontal="left" vertical="top"/>
    </xf>
    <xf numFmtId="0" fontId="15" fillId="2" borderId="0" xfId="0" applyFont="1" applyFill="1" applyBorder="1" applyAlignment="1">
      <alignment horizontal="left" vertical="top"/>
    </xf>
    <xf numFmtId="164" fontId="0" fillId="4" borderId="0" xfId="0" applyNumberFormat="1" applyFill="1" applyBorder="1" applyAlignment="1">
      <alignment horizontal="center"/>
    </xf>
    <xf numFmtId="0" fontId="15" fillId="11" borderId="0" xfId="0" applyFont="1" applyFill="1" applyBorder="1" applyAlignment="1">
      <alignment horizontal="left" vertical="top"/>
    </xf>
    <xf numFmtId="49" fontId="3" fillId="9" borderId="0" xfId="0" applyNumberFormat="1" applyFont="1" applyFill="1" applyBorder="1" applyAlignment="1">
      <alignment horizontal="left" vertical="top" wrapText="1"/>
    </xf>
    <xf numFmtId="1" fontId="0" fillId="8" borderId="0" xfId="0" applyNumberFormat="1" applyFill="1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/>
    <xf numFmtId="0" fontId="1" fillId="10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2" fontId="1" fillId="2" borderId="3" xfId="0" applyNumberFormat="1" applyFont="1" applyFill="1" applyBorder="1" applyAlignment="1">
      <alignment horizontal="left" vertical="top"/>
    </xf>
    <xf numFmtId="164" fontId="1" fillId="2" borderId="3" xfId="0" applyNumberFormat="1" applyFont="1" applyFill="1" applyBorder="1" applyAlignment="1">
      <alignment horizontal="left" vertical="top"/>
    </xf>
    <xf numFmtId="1" fontId="1" fillId="2" borderId="3" xfId="0" applyNumberFormat="1" applyFont="1" applyFill="1" applyBorder="1" applyAlignment="1">
      <alignment horizontal="left" vertical="top"/>
    </xf>
    <xf numFmtId="0" fontId="1" fillId="3" borderId="3" xfId="0" applyNumberFormat="1" applyFont="1" applyFill="1" applyBorder="1" applyAlignment="1">
      <alignment horizontal="left" vertical="top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4" fillId="0" borderId="0" xfId="0" applyNumberFormat="1" applyFont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Border="1" applyAlignment="1">
      <alignment horizontal="left" vertical="top"/>
    </xf>
    <xf numFmtId="0" fontId="4" fillId="7" borderId="0" xfId="0" applyNumberFormat="1" applyFont="1" applyFill="1" applyBorder="1" applyAlignment="1">
      <alignment horizontal="left"/>
    </xf>
    <xf numFmtId="49" fontId="4" fillId="0" borderId="0" xfId="0" applyNumberFormat="1" applyFont="1" applyBorder="1" applyAlignment="1">
      <alignment horizontal="left" vertical="top"/>
    </xf>
    <xf numFmtId="0" fontId="0" fillId="0" borderId="0" xfId="0" applyNumberForma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4" borderId="0" xfId="0" applyFill="1"/>
    <xf numFmtId="0" fontId="0" fillId="6" borderId="0" xfId="0" applyFill="1"/>
    <xf numFmtId="49" fontId="4" fillId="0" borderId="0" xfId="0" applyNumberFormat="1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1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/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4" fillId="7" borderId="0" xfId="0" applyFont="1" applyFill="1"/>
    <xf numFmtId="0" fontId="4" fillId="7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2" fillId="0" borderId="0" xfId="0" applyFont="1" applyAlignment="1">
      <alignment horizontal="left" vertical="top"/>
    </xf>
    <xf numFmtId="2" fontId="5" fillId="0" borderId="0" xfId="0" applyNumberFormat="1" applyFont="1"/>
    <xf numFmtId="2" fontId="2" fillId="0" borderId="0" xfId="0" applyNumberFormat="1" applyFont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49" fontId="7" fillId="9" borderId="0" xfId="0" applyNumberFormat="1" applyFont="1" applyFill="1" applyAlignment="1">
      <alignment horizontal="left" vertical="top" wrapText="1"/>
    </xf>
    <xf numFmtId="49" fontId="5" fillId="0" borderId="0" xfId="0" applyNumberFormat="1" applyFont="1" applyAlignment="1">
      <alignment horizontal="left" wrapText="1"/>
    </xf>
    <xf numFmtId="0" fontId="4" fillId="7" borderId="0" xfId="0" applyFont="1" applyFill="1" applyAlignment="1">
      <alignment horizontal="left"/>
    </xf>
    <xf numFmtId="15" fontId="5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 vertical="top" wrapText="1"/>
    </xf>
    <xf numFmtId="49" fontId="5" fillId="0" borderId="0" xfId="0" applyNumberFormat="1" applyFont="1" applyBorder="1" applyAlignment="1">
      <alignment horizontal="left" vertical="top" wrapText="1"/>
    </xf>
    <xf numFmtId="0" fontId="5" fillId="0" borderId="2" xfId="0" applyFont="1" applyBorder="1"/>
    <xf numFmtId="49" fontId="4" fillId="0" borderId="2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wrapText="1"/>
    </xf>
    <xf numFmtId="49" fontId="0" fillId="0" borderId="2" xfId="0" applyNumberFormat="1" applyBorder="1" applyAlignment="1">
      <alignment horizontal="left" vertical="top"/>
    </xf>
    <xf numFmtId="0" fontId="6" fillId="0" borderId="0" xfId="0" applyFont="1" applyBorder="1" applyAlignment="1">
      <alignment horizontal="left"/>
    </xf>
    <xf numFmtId="0" fontId="13" fillId="0" borderId="2" xfId="0" applyFont="1" applyBorder="1" applyAlignment="1">
      <alignment horizontal="left" vertical="top"/>
    </xf>
    <xf numFmtId="49" fontId="0" fillId="0" borderId="0" xfId="0" applyNumberForma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49" fontId="0" fillId="0" borderId="0" xfId="0" applyNumberFormat="1" applyBorder="1" applyAlignment="1">
      <alignment horizontal="center" vertical="top"/>
    </xf>
    <xf numFmtId="1" fontId="0" fillId="0" borderId="2" xfId="0" applyNumberFormat="1" applyBorder="1" applyAlignment="1">
      <alignment horizontal="left" vertical="top"/>
    </xf>
    <xf numFmtId="1" fontId="0" fillId="0" borderId="2" xfId="0" applyNumberFormat="1" applyBorder="1" applyAlignment="1">
      <alignment horizontal="left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2" fontId="0" fillId="0" borderId="0" xfId="0" applyNumberFormat="1" applyAlignment="1">
      <alignment horizontal="left"/>
    </xf>
    <xf numFmtId="0" fontId="12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8" borderId="0" xfId="0" applyFont="1" applyFill="1" applyAlignment="1">
      <alignment horizontal="left"/>
    </xf>
    <xf numFmtId="0" fontId="4" fillId="0" borderId="4" xfId="0" applyFont="1" applyFill="1" applyBorder="1" applyAlignment="1">
      <alignment horizontal="left"/>
    </xf>
    <xf numFmtId="14" fontId="4" fillId="0" borderId="4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left"/>
    </xf>
    <xf numFmtId="0" fontId="15" fillId="5" borderId="0" xfId="0" applyFont="1" applyFill="1" applyAlignment="1">
      <alignment horizontal="left" vertical="top"/>
    </xf>
    <xf numFmtId="0" fontId="11" fillId="0" borderId="0" xfId="0" applyFont="1" applyAlignment="1">
      <alignment wrapText="1"/>
    </xf>
    <xf numFmtId="2" fontId="4" fillId="0" borderId="0" xfId="0" applyNumberFormat="1" applyFont="1"/>
    <xf numFmtId="2" fontId="4" fillId="7" borderId="0" xfId="0" applyNumberFormat="1" applyFont="1" applyFill="1"/>
    <xf numFmtId="0" fontId="5" fillId="0" borderId="0" xfId="0" applyFont="1" applyAlignment="1">
      <alignment wrapText="1"/>
    </xf>
    <xf numFmtId="49" fontId="4" fillId="7" borderId="2" xfId="0" applyNumberFormat="1" applyFont="1" applyFill="1" applyBorder="1" applyAlignment="1">
      <alignment horizontal="left" vertical="top"/>
    </xf>
    <xf numFmtId="1" fontId="4" fillId="7" borderId="2" xfId="0" applyNumberFormat="1" applyFont="1" applyFill="1" applyBorder="1" applyAlignment="1">
      <alignment horizontal="left" vertical="top"/>
    </xf>
    <xf numFmtId="49" fontId="5" fillId="0" borderId="0" xfId="0" applyNumberFormat="1" applyFont="1" applyBorder="1" applyAlignment="1">
      <alignment horizontal="left" wrapText="1"/>
    </xf>
    <xf numFmtId="0" fontId="1" fillId="10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15" fillId="5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49" fontId="3" fillId="9" borderId="0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horizontal="left"/>
    </xf>
    <xf numFmtId="1" fontId="11" fillId="0" borderId="0" xfId="0" applyNumberFormat="1" applyFont="1" applyAlignment="1">
      <alignment horizontal="left"/>
    </xf>
    <xf numFmtId="49" fontId="0" fillId="0" borderId="0" xfId="0" applyNumberFormat="1" applyBorder="1" applyAlignment="1">
      <alignment horizontal="left"/>
    </xf>
    <xf numFmtId="49" fontId="7" fillId="9" borderId="0" xfId="0" applyNumberFormat="1" applyFont="1" applyFill="1" applyBorder="1" applyAlignment="1">
      <alignment horizontal="left" wrapText="1"/>
    </xf>
    <xf numFmtId="49" fontId="5" fillId="0" borderId="0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left"/>
    </xf>
    <xf numFmtId="49" fontId="7" fillId="9" borderId="0" xfId="0" applyNumberFormat="1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 wrapText="1"/>
    </xf>
    <xf numFmtId="1" fontId="6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49" fontId="0" fillId="0" borderId="2" xfId="0" applyNumberForma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49" fontId="7" fillId="9" borderId="2" xfId="0" applyNumberFormat="1" applyFont="1" applyFill="1" applyBorder="1" applyAlignment="1">
      <alignment horizontal="left" wrapText="1"/>
    </xf>
    <xf numFmtId="49" fontId="5" fillId="0" borderId="2" xfId="0" applyNumberFormat="1" applyFont="1" applyBorder="1" applyAlignment="1">
      <alignment horizontal="left"/>
    </xf>
    <xf numFmtId="0" fontId="15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4" fillId="7" borderId="0" xfId="0" applyFont="1" applyFill="1" applyAlignment="1">
      <alignment horizontal="left" vertical="top"/>
    </xf>
    <xf numFmtId="49" fontId="3" fillId="9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wrapText="1"/>
    </xf>
    <xf numFmtId="49" fontId="0" fillId="0" borderId="0" xfId="0" applyNumberFormat="1" applyAlignment="1">
      <alignment horizontal="center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 vertical="top"/>
    </xf>
    <xf numFmtId="2" fontId="4" fillId="12" borderId="0" xfId="0" applyNumberFormat="1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/>
    </xf>
    <xf numFmtId="49" fontId="4" fillId="12" borderId="0" xfId="0" applyNumberFormat="1" applyFont="1" applyFill="1" applyBorder="1" applyAlignment="1">
      <alignment horizontal="left" vertical="top"/>
    </xf>
    <xf numFmtId="49" fontId="5" fillId="12" borderId="0" xfId="0" applyNumberFormat="1" applyFont="1" applyFill="1" applyBorder="1" applyAlignment="1">
      <alignment horizontal="left" vertical="top"/>
    </xf>
    <xf numFmtId="0" fontId="4" fillId="12" borderId="0" xfId="0" applyFont="1" applyFill="1" applyBorder="1" applyAlignment="1">
      <alignment horizontal="left" vertical="top"/>
    </xf>
    <xf numFmtId="14" fontId="12" fillId="0" borderId="0" xfId="0" applyNumberFormat="1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wrapText="1"/>
    </xf>
    <xf numFmtId="0" fontId="4" fillId="12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/>
    </xf>
    <xf numFmtId="2" fontId="2" fillId="0" borderId="0" xfId="0" applyNumberFormat="1" applyFont="1" applyFill="1" applyBorder="1" applyAlignment="1">
      <alignment horizontal="left" vertical="top"/>
    </xf>
    <xf numFmtId="15" fontId="5" fillId="0" borderId="0" xfId="0" applyNumberFormat="1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3" borderId="3" xfId="0" applyFont="1" applyFill="1" applyBorder="1" applyAlignment="1">
      <alignment horizontal="left" vertical="top"/>
    </xf>
    <xf numFmtId="2" fontId="4" fillId="12" borderId="0" xfId="0" applyNumberFormat="1" applyFont="1" applyFill="1" applyBorder="1" applyAlignment="1">
      <alignment horizontal="left"/>
    </xf>
    <xf numFmtId="0" fontId="13" fillId="12" borderId="0" xfId="0" applyFont="1" applyFill="1" applyBorder="1" applyAlignment="1">
      <alignment horizontal="left" vertical="top"/>
    </xf>
    <xf numFmtId="49" fontId="5" fillId="12" borderId="0" xfId="0" applyNumberFormat="1" applyFont="1" applyFill="1" applyBorder="1" applyAlignment="1">
      <alignment horizontal="left" vertical="top" wrapText="1"/>
    </xf>
    <xf numFmtId="49" fontId="4" fillId="12" borderId="0" xfId="0" applyNumberFormat="1" applyFont="1" applyFill="1" applyBorder="1" applyAlignment="1">
      <alignment horizontal="left"/>
    </xf>
    <xf numFmtId="0" fontId="9" fillId="12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top"/>
    </xf>
    <xf numFmtId="49" fontId="0" fillId="0" borderId="0" xfId="0" applyNumberFormat="1" applyFont="1" applyFill="1" applyBorder="1" applyAlignment="1">
      <alignment horizontal="left" vertical="top" wrapText="1"/>
    </xf>
    <xf numFmtId="14" fontId="0" fillId="0" borderId="0" xfId="0" applyNumberFormat="1" applyFont="1" applyFill="1" applyBorder="1" applyAlignment="1">
      <alignment horizontal="left"/>
    </xf>
    <xf numFmtId="2" fontId="0" fillId="0" borderId="0" xfId="0" applyNumberFormat="1" applyFont="1" applyFill="1" applyBorder="1" applyAlignment="1">
      <alignment horizontal="left"/>
    </xf>
    <xf numFmtId="49" fontId="0" fillId="12" borderId="0" xfId="0" applyNumberFormat="1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 vertical="top"/>
    </xf>
    <xf numFmtId="2" fontId="0" fillId="0" borderId="0" xfId="0" applyNumberFormat="1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1" fontId="11" fillId="0" borderId="0" xfId="0" applyNumberFormat="1" applyFont="1" applyFill="1" applyBorder="1" applyAlignment="1">
      <alignment horizontal="left" vertical="top" wrapText="1"/>
    </xf>
    <xf numFmtId="2" fontId="0" fillId="12" borderId="0" xfId="0" applyNumberFormat="1" applyFont="1" applyFill="1" applyBorder="1" applyAlignment="1">
      <alignment horizontal="left" vertical="top"/>
    </xf>
    <xf numFmtId="49" fontId="4" fillId="12" borderId="0" xfId="0" applyNumberFormat="1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2" fontId="0" fillId="0" borderId="0" xfId="0" applyNumberFormat="1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1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F4D4-C988-4F12-99D1-A28ADB29D8D0}">
  <sheetPr>
    <tabColor theme="9" tint="-0.249977111117893"/>
  </sheetPr>
  <dimension ref="A1:AH214"/>
  <sheetViews>
    <sheetView workbookViewId="0">
      <pane ySplit="1" topLeftCell="A193" activePane="bottomLeft" state="frozen"/>
      <selection pane="bottomLeft" activeCell="F212" sqref="F212"/>
    </sheetView>
  </sheetViews>
  <sheetFormatPr defaultRowHeight="15" x14ac:dyDescent="0.25"/>
  <cols>
    <col min="1" max="1" width="14.5703125" style="96" customWidth="1"/>
    <col min="2" max="2" width="24.7109375" style="96" customWidth="1"/>
    <col min="3" max="3" width="15.140625" style="143" customWidth="1"/>
    <col min="4" max="4" width="15.140625" style="124" customWidth="1"/>
    <col min="5" max="5" width="15.140625" style="125" customWidth="1"/>
    <col min="6" max="6" width="15.140625" style="111" customWidth="1"/>
    <col min="7" max="7" width="11.42578125" style="105" customWidth="1"/>
    <col min="8" max="8" width="19" style="96" bestFit="1" customWidth="1"/>
    <col min="9" max="9" width="27.28515625" style="96" bestFit="1" customWidth="1"/>
    <col min="10" max="10" width="9.85546875" style="96" customWidth="1"/>
    <col min="11" max="11" width="7.42578125" style="96" customWidth="1"/>
    <col min="12" max="12" width="8.85546875" style="96" customWidth="1"/>
    <col min="13" max="13" width="17.5703125" style="96" customWidth="1"/>
    <col min="14" max="14" width="20.28515625" style="96" customWidth="1"/>
    <col min="15" max="15" width="16.7109375" style="96" customWidth="1"/>
    <col min="16" max="16" width="7.140625" style="96" customWidth="1"/>
    <col min="17" max="17" width="16.5703125" style="96" customWidth="1"/>
    <col min="18" max="18" width="8.85546875" style="96" customWidth="1"/>
    <col min="19" max="21" width="9.140625" style="96"/>
    <col min="22" max="22" width="61.42578125" style="96" customWidth="1"/>
    <col min="23" max="16384" width="9.140625" style="96"/>
  </cols>
  <sheetData>
    <row r="1" spans="1:34" s="105" customFormat="1" ht="15.75" thickBot="1" x14ac:dyDescent="0.3">
      <c r="A1" s="126" t="s">
        <v>308</v>
      </c>
      <c r="B1" s="127" t="s">
        <v>0</v>
      </c>
      <c r="C1" s="128" t="s">
        <v>1</v>
      </c>
      <c r="D1" s="127" t="s">
        <v>2</v>
      </c>
      <c r="E1" s="129" t="s">
        <v>3</v>
      </c>
      <c r="F1" s="130" t="s">
        <v>4</v>
      </c>
      <c r="G1" s="131" t="s">
        <v>5</v>
      </c>
      <c r="H1" s="131" t="s">
        <v>6</v>
      </c>
      <c r="I1" s="131" t="s">
        <v>7</v>
      </c>
      <c r="J1" s="132" t="s">
        <v>8</v>
      </c>
      <c r="K1" s="132" t="s">
        <v>9</v>
      </c>
      <c r="L1" s="132" t="s">
        <v>10</v>
      </c>
      <c r="M1" s="132" t="s">
        <v>11</v>
      </c>
      <c r="N1" s="132" t="s">
        <v>12</v>
      </c>
      <c r="O1" s="132" t="s">
        <v>13</v>
      </c>
      <c r="P1" s="132" t="s">
        <v>14</v>
      </c>
      <c r="Q1" s="132" t="s">
        <v>15</v>
      </c>
      <c r="R1" s="132" t="s">
        <v>16</v>
      </c>
      <c r="S1" s="132" t="s">
        <v>17</v>
      </c>
      <c r="T1" s="132" t="s">
        <v>18</v>
      </c>
      <c r="U1" s="132" t="s">
        <v>19</v>
      </c>
      <c r="V1" s="132" t="s">
        <v>20</v>
      </c>
      <c r="W1" s="133" t="s">
        <v>21</v>
      </c>
      <c r="X1" s="133" t="s">
        <v>22</v>
      </c>
      <c r="Y1" s="133" t="s">
        <v>23</v>
      </c>
      <c r="Z1" s="133" t="s">
        <v>24</v>
      </c>
      <c r="AA1" s="133" t="s">
        <v>25</v>
      </c>
      <c r="AB1" s="133" t="s">
        <v>26</v>
      </c>
      <c r="AC1" s="133" t="s">
        <v>27</v>
      </c>
      <c r="AD1" s="133" t="s">
        <v>28</v>
      </c>
      <c r="AE1" s="133" t="s">
        <v>20</v>
      </c>
      <c r="AF1" s="134" t="s">
        <v>29</v>
      </c>
      <c r="AG1" s="134" t="s">
        <v>30</v>
      </c>
    </row>
    <row r="2" spans="1:34" x14ac:dyDescent="0.25">
      <c r="A2" s="106" t="s">
        <v>316</v>
      </c>
      <c r="B2" s="50" t="s">
        <v>279</v>
      </c>
      <c r="C2" s="49">
        <v>568973</v>
      </c>
      <c r="D2" s="84">
        <v>44386</v>
      </c>
      <c r="E2" s="84">
        <v>45132</v>
      </c>
      <c r="F2" s="68">
        <f t="shared" ref="F2:F14" si="0">E2-D2</f>
        <v>746</v>
      </c>
      <c r="G2" s="49" t="s">
        <v>242</v>
      </c>
      <c r="H2" s="70">
        <v>0</v>
      </c>
      <c r="I2" s="70">
        <v>1</v>
      </c>
      <c r="J2" s="79">
        <v>0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 t="s">
        <v>280</v>
      </c>
      <c r="W2" s="79">
        <v>0</v>
      </c>
      <c r="X2" s="79"/>
      <c r="Y2" s="79"/>
      <c r="Z2" s="79"/>
      <c r="AA2" s="79"/>
      <c r="AB2" s="79"/>
      <c r="AC2" s="79"/>
      <c r="AD2" s="79"/>
      <c r="AE2" s="79"/>
      <c r="AF2" s="79"/>
      <c r="AG2" s="79"/>
    </row>
    <row r="3" spans="1:34" x14ac:dyDescent="0.25">
      <c r="A3" s="106" t="s">
        <v>322</v>
      </c>
      <c r="B3" s="47" t="s">
        <v>297</v>
      </c>
      <c r="C3" s="65">
        <v>872301</v>
      </c>
      <c r="D3" s="84">
        <v>44446</v>
      </c>
      <c r="E3" s="84">
        <v>45147</v>
      </c>
      <c r="F3" s="68">
        <f t="shared" si="0"/>
        <v>701</v>
      </c>
      <c r="G3" s="49" t="s">
        <v>242</v>
      </c>
      <c r="H3" s="80">
        <v>0</v>
      </c>
      <c r="I3" s="70">
        <v>1</v>
      </c>
      <c r="J3" s="79">
        <v>0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>
        <v>0</v>
      </c>
      <c r="X3" s="79"/>
      <c r="Y3" s="79"/>
      <c r="Z3" s="79"/>
      <c r="AA3" s="79"/>
      <c r="AB3" s="79"/>
      <c r="AC3" s="79"/>
      <c r="AD3" s="79"/>
      <c r="AE3" s="79"/>
      <c r="AF3" s="79"/>
      <c r="AG3" s="79"/>
      <c r="AH3" s="25"/>
    </row>
    <row r="4" spans="1:34" x14ac:dyDescent="0.25">
      <c r="A4" s="107" t="s">
        <v>309</v>
      </c>
      <c r="B4" s="44" t="s">
        <v>271</v>
      </c>
      <c r="C4" s="24">
        <v>107002</v>
      </c>
      <c r="D4" s="84">
        <v>44337</v>
      </c>
      <c r="E4" s="84">
        <v>45268</v>
      </c>
      <c r="F4" s="68">
        <f t="shared" si="0"/>
        <v>931</v>
      </c>
      <c r="G4" s="144" t="s">
        <v>242</v>
      </c>
      <c r="H4" s="70">
        <v>0</v>
      </c>
      <c r="I4" s="70">
        <v>1</v>
      </c>
      <c r="J4" s="71">
        <v>0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pans="1:34" x14ac:dyDescent="0.25">
      <c r="A5" s="106" t="s">
        <v>310</v>
      </c>
      <c r="B5" s="44" t="s">
        <v>206</v>
      </c>
      <c r="C5" s="22">
        <v>242136</v>
      </c>
      <c r="D5" s="7">
        <v>44330</v>
      </c>
      <c r="E5" s="7">
        <v>45077</v>
      </c>
      <c r="F5" s="68">
        <f t="shared" si="0"/>
        <v>747</v>
      </c>
      <c r="G5" s="24" t="s">
        <v>171</v>
      </c>
      <c r="H5" s="70">
        <v>0</v>
      </c>
      <c r="I5" s="70">
        <v>1</v>
      </c>
      <c r="J5" s="78">
        <v>3</v>
      </c>
      <c r="K5" s="78"/>
      <c r="L5" s="78"/>
      <c r="M5" s="78">
        <v>3</v>
      </c>
      <c r="N5" s="78">
        <v>2</v>
      </c>
      <c r="O5" s="78">
        <v>3</v>
      </c>
      <c r="P5" s="78"/>
      <c r="Q5" s="78"/>
      <c r="R5" s="78"/>
      <c r="S5" s="78"/>
      <c r="T5" s="78"/>
      <c r="U5" s="78"/>
      <c r="V5" s="78" t="s">
        <v>207</v>
      </c>
      <c r="W5" s="78">
        <v>0</v>
      </c>
      <c r="X5" s="78"/>
      <c r="Y5" s="78"/>
      <c r="Z5" s="78"/>
      <c r="AA5" s="78"/>
      <c r="AB5" s="78"/>
      <c r="AC5" s="78"/>
      <c r="AD5" s="78"/>
      <c r="AE5" s="78"/>
      <c r="AF5" s="78"/>
      <c r="AG5" s="78"/>
    </row>
    <row r="6" spans="1:34" x14ac:dyDescent="0.25">
      <c r="A6" s="108" t="s">
        <v>320</v>
      </c>
      <c r="B6" s="109" t="s">
        <v>31</v>
      </c>
      <c r="C6" s="135">
        <v>860879</v>
      </c>
      <c r="D6" s="7">
        <v>44201</v>
      </c>
      <c r="E6" s="110">
        <v>45321</v>
      </c>
      <c r="F6" s="111">
        <f t="shared" si="0"/>
        <v>1120</v>
      </c>
      <c r="G6" s="9" t="s">
        <v>32</v>
      </c>
      <c r="H6" s="112">
        <v>0</v>
      </c>
      <c r="I6" s="112">
        <v>1</v>
      </c>
      <c r="J6" s="112">
        <v>1</v>
      </c>
      <c r="K6" s="112"/>
      <c r="L6" s="112">
        <v>1</v>
      </c>
      <c r="M6" s="112">
        <v>1</v>
      </c>
      <c r="N6" s="112"/>
      <c r="O6" s="112"/>
      <c r="P6" s="112">
        <v>1</v>
      </c>
      <c r="Q6" s="112">
        <v>1</v>
      </c>
      <c r="R6" s="112">
        <v>1</v>
      </c>
      <c r="S6" s="112">
        <v>1</v>
      </c>
      <c r="T6" s="112"/>
      <c r="U6" s="112"/>
      <c r="V6" s="112"/>
      <c r="W6" s="112">
        <v>1</v>
      </c>
      <c r="X6" s="112"/>
      <c r="Y6" s="112"/>
      <c r="Z6" s="112"/>
      <c r="AA6" s="112"/>
      <c r="AB6" s="112"/>
      <c r="AC6" s="112"/>
      <c r="AD6" s="112"/>
      <c r="AE6" s="112"/>
      <c r="AF6" s="112"/>
      <c r="AG6" s="112">
        <v>1</v>
      </c>
    </row>
    <row r="7" spans="1:34" x14ac:dyDescent="0.25">
      <c r="A7" s="106" t="s">
        <v>323</v>
      </c>
      <c r="B7" s="21" t="s">
        <v>174</v>
      </c>
      <c r="C7" s="32">
        <v>873673</v>
      </c>
      <c r="D7" s="7">
        <v>44158</v>
      </c>
      <c r="E7" s="7">
        <v>45266</v>
      </c>
      <c r="F7" s="68">
        <f t="shared" si="0"/>
        <v>1108</v>
      </c>
      <c r="G7" s="24" t="s">
        <v>171</v>
      </c>
      <c r="H7" s="70">
        <v>0</v>
      </c>
      <c r="I7" s="70">
        <v>1</v>
      </c>
      <c r="J7" s="71">
        <v>2</v>
      </c>
      <c r="K7" s="71"/>
      <c r="L7" s="71"/>
      <c r="M7" s="71">
        <v>2</v>
      </c>
      <c r="N7" s="71"/>
      <c r="O7" s="71"/>
      <c r="P7" s="71"/>
      <c r="Q7" s="71">
        <v>2</v>
      </c>
      <c r="R7" s="71"/>
      <c r="S7" s="71"/>
      <c r="T7" s="71"/>
      <c r="U7" s="71"/>
      <c r="V7" s="71"/>
      <c r="W7" s="71">
        <v>0</v>
      </c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spans="1:34" x14ac:dyDescent="0.25">
      <c r="A8" s="107" t="s">
        <v>319</v>
      </c>
      <c r="B8" s="50" t="s">
        <v>214</v>
      </c>
      <c r="C8" s="51">
        <v>824495</v>
      </c>
      <c r="D8" s="7">
        <v>44361</v>
      </c>
      <c r="E8" s="7">
        <v>45097</v>
      </c>
      <c r="F8" s="68">
        <f t="shared" si="0"/>
        <v>736</v>
      </c>
      <c r="G8" s="49" t="s">
        <v>171</v>
      </c>
      <c r="H8" s="70">
        <v>0</v>
      </c>
      <c r="I8" s="70">
        <v>1</v>
      </c>
      <c r="J8" s="79">
        <v>2</v>
      </c>
      <c r="K8" s="79"/>
      <c r="L8" s="79"/>
      <c r="M8" s="79">
        <v>1</v>
      </c>
      <c r="N8" s="79"/>
      <c r="O8" s="79">
        <v>2</v>
      </c>
      <c r="P8" s="79"/>
      <c r="Q8" s="79">
        <v>2</v>
      </c>
      <c r="R8" s="79"/>
      <c r="S8" s="79">
        <v>1</v>
      </c>
      <c r="T8" s="79"/>
      <c r="U8" s="79"/>
      <c r="V8" s="79" t="s">
        <v>215</v>
      </c>
      <c r="W8" s="79">
        <v>0</v>
      </c>
      <c r="X8" s="79"/>
      <c r="Y8" s="79"/>
      <c r="Z8" s="79"/>
      <c r="AA8" s="79"/>
      <c r="AB8" s="79"/>
      <c r="AC8" s="79"/>
      <c r="AD8" s="79"/>
      <c r="AE8" s="79"/>
      <c r="AF8" s="79"/>
      <c r="AG8" s="79"/>
    </row>
    <row r="9" spans="1:34" x14ac:dyDescent="0.25">
      <c r="A9" s="107" t="s">
        <v>313</v>
      </c>
      <c r="B9" s="50" t="s">
        <v>229</v>
      </c>
      <c r="C9" s="51">
        <v>400664</v>
      </c>
      <c r="D9" s="7">
        <v>44453</v>
      </c>
      <c r="E9" s="7">
        <v>45174</v>
      </c>
      <c r="F9" s="68">
        <f t="shared" si="0"/>
        <v>721</v>
      </c>
      <c r="G9" s="49" t="s">
        <v>171</v>
      </c>
      <c r="H9" s="80">
        <v>0</v>
      </c>
      <c r="I9" s="70">
        <v>1</v>
      </c>
      <c r="J9" s="79">
        <v>1</v>
      </c>
      <c r="K9" s="79"/>
      <c r="L9" s="79"/>
      <c r="M9" s="79"/>
      <c r="N9" s="79"/>
      <c r="O9" s="79"/>
      <c r="P9" s="79"/>
      <c r="Q9" s="79">
        <v>1</v>
      </c>
      <c r="R9" s="79"/>
      <c r="S9" s="79"/>
      <c r="T9" s="79"/>
      <c r="U9" s="79"/>
      <c r="V9" s="79"/>
      <c r="W9" s="79">
        <v>0</v>
      </c>
      <c r="X9" s="79"/>
      <c r="Y9" s="79"/>
      <c r="Z9" s="79"/>
      <c r="AA9" s="79"/>
      <c r="AB9" s="79"/>
      <c r="AC9" s="79"/>
      <c r="AD9" s="79"/>
      <c r="AE9" s="79"/>
      <c r="AF9" s="79"/>
      <c r="AG9" s="79"/>
    </row>
    <row r="10" spans="1:34" x14ac:dyDescent="0.25">
      <c r="A10" s="109" t="s">
        <v>318</v>
      </c>
      <c r="B10" s="37" t="s">
        <v>195</v>
      </c>
      <c r="C10" s="38">
        <v>762097</v>
      </c>
      <c r="D10" s="83">
        <v>44306</v>
      </c>
      <c r="E10" s="83">
        <v>45247</v>
      </c>
      <c r="F10" s="69">
        <f t="shared" si="0"/>
        <v>941</v>
      </c>
      <c r="G10" s="26" t="s">
        <v>171</v>
      </c>
      <c r="H10" s="70">
        <v>0</v>
      </c>
      <c r="I10" s="70">
        <v>1</v>
      </c>
      <c r="J10" s="73">
        <v>0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>
        <v>0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113"/>
    </row>
    <row r="11" spans="1:34" ht="15.75" x14ac:dyDescent="0.25">
      <c r="A11" s="106" t="s">
        <v>325</v>
      </c>
      <c r="B11" s="36" t="s">
        <v>189</v>
      </c>
      <c r="C11" s="29">
        <v>937504</v>
      </c>
      <c r="D11" s="11">
        <v>44258</v>
      </c>
      <c r="E11" s="11">
        <v>45084</v>
      </c>
      <c r="F11" s="68">
        <f t="shared" si="0"/>
        <v>826</v>
      </c>
      <c r="G11" s="30" t="s">
        <v>171</v>
      </c>
      <c r="H11" s="70" t="s">
        <v>172</v>
      </c>
      <c r="I11" s="74">
        <v>0</v>
      </c>
      <c r="J11" s="75" t="s">
        <v>172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114"/>
    </row>
    <row r="12" spans="1:34" x14ac:dyDescent="0.25">
      <c r="A12" s="107" t="s">
        <v>328</v>
      </c>
      <c r="B12" s="39" t="s">
        <v>197</v>
      </c>
      <c r="C12" s="40">
        <v>1007203</v>
      </c>
      <c r="D12" s="7">
        <v>44300</v>
      </c>
      <c r="E12" s="7">
        <v>45201</v>
      </c>
      <c r="F12" s="68">
        <f t="shared" si="0"/>
        <v>901</v>
      </c>
      <c r="G12" s="35" t="s">
        <v>171</v>
      </c>
      <c r="H12" s="70">
        <v>0</v>
      </c>
      <c r="I12" s="70">
        <v>1</v>
      </c>
      <c r="J12" s="71">
        <v>0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>
        <v>0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spans="1:34" x14ac:dyDescent="0.25">
      <c r="A13" s="106" t="s">
        <v>330</v>
      </c>
      <c r="B13" s="21" t="s">
        <v>184</v>
      </c>
      <c r="C13" s="22">
        <v>1081580</v>
      </c>
      <c r="D13" s="7">
        <v>44180</v>
      </c>
      <c r="E13" s="7">
        <v>45098</v>
      </c>
      <c r="F13" s="68">
        <f t="shared" si="0"/>
        <v>918</v>
      </c>
      <c r="G13" s="24" t="s">
        <v>171</v>
      </c>
      <c r="H13" s="70">
        <v>0</v>
      </c>
      <c r="I13" s="70">
        <v>1</v>
      </c>
      <c r="J13" s="71">
        <v>0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>
        <v>0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spans="1:34" x14ac:dyDescent="0.25">
      <c r="A14" s="106" t="s">
        <v>334</v>
      </c>
      <c r="B14" s="21" t="s">
        <v>256</v>
      </c>
      <c r="C14" s="22">
        <v>1258937</v>
      </c>
      <c r="D14" s="84">
        <v>44284</v>
      </c>
      <c r="E14" s="84">
        <v>45219</v>
      </c>
      <c r="F14" s="68">
        <f t="shared" si="0"/>
        <v>935</v>
      </c>
      <c r="G14" s="24" t="s">
        <v>242</v>
      </c>
      <c r="H14" s="70">
        <v>0</v>
      </c>
      <c r="I14" s="70">
        <v>1</v>
      </c>
      <c r="J14" s="71">
        <v>0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>
        <v>0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4" x14ac:dyDescent="0.25">
      <c r="A15" s="106" t="s">
        <v>504</v>
      </c>
      <c r="B15" s="99" t="s">
        <v>139</v>
      </c>
      <c r="C15" s="102" t="s">
        <v>140</v>
      </c>
      <c r="D15" s="115">
        <v>44175</v>
      </c>
      <c r="E15" s="115">
        <v>45308</v>
      </c>
      <c r="F15" s="116">
        <f>(E15-D15)</f>
        <v>1133</v>
      </c>
      <c r="G15" s="105" t="s">
        <v>141</v>
      </c>
      <c r="H15" s="112">
        <v>0</v>
      </c>
      <c r="I15" s="112">
        <v>1</v>
      </c>
      <c r="J15" s="112">
        <v>1</v>
      </c>
      <c r="K15" s="112"/>
      <c r="L15" s="112"/>
      <c r="M15" s="112"/>
      <c r="N15" s="112"/>
      <c r="O15" s="112"/>
      <c r="P15" s="112"/>
      <c r="Q15" s="112">
        <v>1</v>
      </c>
      <c r="R15" s="112"/>
      <c r="S15" s="112"/>
      <c r="T15" s="112"/>
      <c r="U15" s="112"/>
      <c r="V15" s="112"/>
      <c r="W15" s="112">
        <v>1</v>
      </c>
      <c r="X15" s="112"/>
      <c r="Y15" s="112">
        <v>1</v>
      </c>
      <c r="Z15" s="112"/>
      <c r="AA15" s="112"/>
      <c r="AB15" s="112"/>
      <c r="AC15" s="112"/>
      <c r="AD15" s="112"/>
      <c r="AE15" s="112"/>
      <c r="AF15" s="112"/>
      <c r="AG15" s="112"/>
      <c r="AH15" s="112"/>
    </row>
    <row r="16" spans="1:34" x14ac:dyDescent="0.25">
      <c r="A16" s="106" t="s">
        <v>505</v>
      </c>
      <c r="B16" s="52" t="s">
        <v>142</v>
      </c>
      <c r="C16" s="136" t="s">
        <v>143</v>
      </c>
      <c r="D16" s="115">
        <v>44166</v>
      </c>
      <c r="E16" s="115">
        <v>45301</v>
      </c>
      <c r="F16" s="116">
        <f>(E16-D16)</f>
        <v>1135</v>
      </c>
      <c r="G16" s="105" t="s">
        <v>36</v>
      </c>
      <c r="H16" s="112">
        <v>0</v>
      </c>
      <c r="I16" s="112">
        <v>1</v>
      </c>
      <c r="J16" s="112">
        <v>1</v>
      </c>
      <c r="K16" s="112"/>
      <c r="L16" s="112"/>
      <c r="M16" s="112">
        <v>1</v>
      </c>
      <c r="N16" s="112"/>
      <c r="O16" s="112">
        <v>1</v>
      </c>
      <c r="P16" s="112"/>
      <c r="Q16" s="112"/>
      <c r="R16" s="112"/>
      <c r="S16" s="112">
        <v>1</v>
      </c>
      <c r="T16" s="112"/>
      <c r="U16" s="112"/>
      <c r="V16" s="112"/>
      <c r="W16" s="112">
        <v>1</v>
      </c>
      <c r="X16" s="112"/>
      <c r="Y16" s="112">
        <v>1</v>
      </c>
      <c r="Z16" s="112"/>
      <c r="AA16" s="112"/>
      <c r="AB16" s="112"/>
      <c r="AC16" s="112"/>
      <c r="AD16" s="112"/>
      <c r="AE16" s="112"/>
      <c r="AF16" s="112"/>
      <c r="AG16" s="112"/>
      <c r="AH16" s="112"/>
    </row>
    <row r="17" spans="1:34" x14ac:dyDescent="0.25">
      <c r="A17" s="106" t="s">
        <v>332</v>
      </c>
      <c r="B17" s="33" t="s">
        <v>290</v>
      </c>
      <c r="C17" s="35">
        <v>1228610</v>
      </c>
      <c r="D17" s="84">
        <v>44427</v>
      </c>
      <c r="E17" s="84">
        <v>45238</v>
      </c>
      <c r="F17" s="68">
        <f t="shared" ref="F17:F60" si="1">E17-D17</f>
        <v>811</v>
      </c>
      <c r="G17" s="35" t="s">
        <v>242</v>
      </c>
      <c r="H17" s="70">
        <v>0</v>
      </c>
      <c r="I17" s="70">
        <v>1</v>
      </c>
      <c r="J17" s="71">
        <v>2</v>
      </c>
      <c r="K17" s="71"/>
      <c r="L17" s="71"/>
      <c r="M17" s="71">
        <v>2</v>
      </c>
      <c r="N17" s="71"/>
      <c r="O17" s="71"/>
      <c r="P17" s="71"/>
      <c r="Q17" s="71"/>
      <c r="R17" s="71"/>
      <c r="S17" s="71"/>
      <c r="T17" s="71">
        <v>1</v>
      </c>
      <c r="U17" s="71"/>
      <c r="V17" s="71" t="s">
        <v>291</v>
      </c>
      <c r="W17" s="71">
        <v>0</v>
      </c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25"/>
    </row>
    <row r="18" spans="1:34" x14ac:dyDescent="0.25">
      <c r="A18" s="106" t="s">
        <v>315</v>
      </c>
      <c r="B18" s="50" t="s">
        <v>213</v>
      </c>
      <c r="C18" s="51">
        <v>524859</v>
      </c>
      <c r="D18" s="7">
        <v>44385</v>
      </c>
      <c r="E18" s="7">
        <v>44500</v>
      </c>
      <c r="F18" s="68">
        <f t="shared" si="1"/>
        <v>115</v>
      </c>
      <c r="G18" s="49" t="s">
        <v>171</v>
      </c>
      <c r="H18" s="80">
        <v>1</v>
      </c>
      <c r="I18" s="80">
        <v>1</v>
      </c>
      <c r="J18" s="79" t="s">
        <v>172</v>
      </c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</row>
    <row r="19" spans="1:34" x14ac:dyDescent="0.25">
      <c r="A19" s="106" t="s">
        <v>312</v>
      </c>
      <c r="B19" s="47" t="s">
        <v>294</v>
      </c>
      <c r="C19" s="49">
        <v>363876</v>
      </c>
      <c r="D19" s="84">
        <v>44432</v>
      </c>
      <c r="E19" s="84">
        <v>45236</v>
      </c>
      <c r="F19" s="68">
        <f t="shared" si="1"/>
        <v>804</v>
      </c>
      <c r="G19" s="49" t="s">
        <v>242</v>
      </c>
      <c r="H19" s="70">
        <v>0</v>
      </c>
      <c r="I19" s="70">
        <v>1</v>
      </c>
      <c r="J19" s="79">
        <v>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>
        <v>0</v>
      </c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25"/>
    </row>
    <row r="20" spans="1:34" x14ac:dyDescent="0.25">
      <c r="A20" s="108" t="s">
        <v>351</v>
      </c>
      <c r="B20" s="9" t="s">
        <v>33</v>
      </c>
      <c r="C20" s="135">
        <v>1984126</v>
      </c>
      <c r="D20" s="7">
        <v>44188</v>
      </c>
      <c r="E20" s="110">
        <v>45454</v>
      </c>
      <c r="F20" s="111">
        <f t="shared" si="1"/>
        <v>1266</v>
      </c>
      <c r="G20" s="9" t="s">
        <v>32</v>
      </c>
      <c r="H20" s="112">
        <v>0</v>
      </c>
      <c r="I20" s="112">
        <v>1</v>
      </c>
      <c r="J20" s="112">
        <v>0</v>
      </c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>
        <v>0</v>
      </c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</row>
    <row r="21" spans="1:34" x14ac:dyDescent="0.25">
      <c r="A21" s="106" t="s">
        <v>317</v>
      </c>
      <c r="B21" s="33" t="s">
        <v>240</v>
      </c>
      <c r="C21" s="40">
        <v>626247</v>
      </c>
      <c r="D21" s="7">
        <v>44476</v>
      </c>
      <c r="E21" s="7">
        <v>45251</v>
      </c>
      <c r="F21" s="68">
        <f t="shared" si="1"/>
        <v>775</v>
      </c>
      <c r="G21" s="35" t="s">
        <v>171</v>
      </c>
      <c r="H21" s="70">
        <v>0</v>
      </c>
      <c r="I21" s="70">
        <v>1</v>
      </c>
      <c r="J21" s="71">
        <v>2</v>
      </c>
      <c r="K21" s="71"/>
      <c r="L21" s="71"/>
      <c r="M21" s="71"/>
      <c r="N21" s="71">
        <v>2</v>
      </c>
      <c r="O21" s="71"/>
      <c r="P21" s="71"/>
      <c r="Q21" s="71"/>
      <c r="R21" s="71"/>
      <c r="S21" s="71"/>
      <c r="T21" s="71"/>
      <c r="U21" s="71"/>
      <c r="V21" s="71"/>
      <c r="W21" s="71">
        <v>0</v>
      </c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25"/>
    </row>
    <row r="22" spans="1:34" x14ac:dyDescent="0.25">
      <c r="A22" s="106" t="s">
        <v>335</v>
      </c>
      <c r="B22" s="47" t="s">
        <v>292</v>
      </c>
      <c r="C22" s="67">
        <v>1317813</v>
      </c>
      <c r="D22" s="84">
        <v>44425</v>
      </c>
      <c r="E22" s="84">
        <v>45155</v>
      </c>
      <c r="F22" s="68">
        <f t="shared" si="1"/>
        <v>730</v>
      </c>
      <c r="G22" s="49" t="s">
        <v>242</v>
      </c>
      <c r="H22" s="80">
        <v>0</v>
      </c>
      <c r="I22" s="70">
        <v>1</v>
      </c>
      <c r="J22" s="79">
        <v>1</v>
      </c>
      <c r="K22" s="79"/>
      <c r="L22" s="79"/>
      <c r="M22" s="79"/>
      <c r="N22" s="79">
        <v>1</v>
      </c>
      <c r="O22" s="79"/>
      <c r="P22" s="79"/>
      <c r="Q22" s="79">
        <v>1</v>
      </c>
      <c r="R22" s="79"/>
      <c r="S22" s="79"/>
      <c r="T22" s="79"/>
      <c r="U22" s="79"/>
      <c r="V22" s="79" t="s">
        <v>293</v>
      </c>
      <c r="W22" s="79">
        <v>0</v>
      </c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25"/>
    </row>
    <row r="23" spans="1:34" x14ac:dyDescent="0.25">
      <c r="A23" s="108" t="s">
        <v>356</v>
      </c>
      <c r="B23" s="9" t="s">
        <v>34</v>
      </c>
      <c r="C23" s="135">
        <v>2144782</v>
      </c>
      <c r="D23" s="7">
        <v>44207</v>
      </c>
      <c r="E23" s="110">
        <v>44769</v>
      </c>
      <c r="F23" s="111">
        <f t="shared" si="1"/>
        <v>562</v>
      </c>
      <c r="G23" s="9" t="s">
        <v>32</v>
      </c>
      <c r="H23" s="87">
        <v>1</v>
      </c>
      <c r="I23" s="87">
        <v>1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 t="s">
        <v>301</v>
      </c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</row>
    <row r="24" spans="1:34" x14ac:dyDescent="0.25">
      <c r="A24" s="108" t="s">
        <v>368</v>
      </c>
      <c r="B24" s="9" t="s">
        <v>35</v>
      </c>
      <c r="C24" s="135">
        <v>2461167</v>
      </c>
      <c r="D24" s="7">
        <v>44273</v>
      </c>
      <c r="E24" s="110">
        <v>45397</v>
      </c>
      <c r="F24" s="111">
        <f t="shared" si="1"/>
        <v>1124</v>
      </c>
      <c r="G24" s="9" t="s">
        <v>36</v>
      </c>
      <c r="H24" s="87">
        <v>1</v>
      </c>
      <c r="I24" s="87">
        <v>1</v>
      </c>
      <c r="J24" s="87">
        <v>2</v>
      </c>
      <c r="K24" s="87"/>
      <c r="L24" s="87"/>
      <c r="M24" s="87">
        <v>2</v>
      </c>
      <c r="N24" s="87"/>
      <c r="O24" s="87"/>
      <c r="P24" s="87"/>
      <c r="Q24" s="87"/>
      <c r="R24" s="87"/>
      <c r="S24" s="87">
        <v>1</v>
      </c>
      <c r="T24" s="87"/>
      <c r="U24" s="87"/>
      <c r="V24" s="87" t="s">
        <v>37</v>
      </c>
      <c r="W24" s="87">
        <v>1</v>
      </c>
      <c r="X24" s="87"/>
      <c r="Y24" s="87">
        <v>1</v>
      </c>
      <c r="Z24" s="87"/>
      <c r="AA24" s="87"/>
      <c r="AB24" s="87"/>
      <c r="AC24" s="87"/>
      <c r="AD24" s="87"/>
      <c r="AE24" s="87"/>
      <c r="AF24" s="87"/>
      <c r="AG24" s="87"/>
    </row>
    <row r="25" spans="1:34" x14ac:dyDescent="0.25">
      <c r="A25" s="106" t="s">
        <v>338</v>
      </c>
      <c r="B25" s="39" t="s">
        <v>196</v>
      </c>
      <c r="C25" s="34">
        <v>1505916</v>
      </c>
      <c r="D25" s="7">
        <v>44299</v>
      </c>
      <c r="E25" s="7">
        <v>45236</v>
      </c>
      <c r="F25" s="68">
        <f t="shared" si="1"/>
        <v>937</v>
      </c>
      <c r="G25" s="35" t="s">
        <v>171</v>
      </c>
      <c r="H25" s="70">
        <v>0</v>
      </c>
      <c r="I25" s="70">
        <v>1</v>
      </c>
      <c r="J25" s="71">
        <v>2</v>
      </c>
      <c r="K25" s="71"/>
      <c r="L25" s="71"/>
      <c r="M25" s="71">
        <v>1</v>
      </c>
      <c r="N25" s="71"/>
      <c r="O25" s="71">
        <v>1</v>
      </c>
      <c r="P25" s="71"/>
      <c r="Q25" s="71"/>
      <c r="R25" s="71"/>
      <c r="S25" s="71"/>
      <c r="T25" s="71"/>
      <c r="U25" s="71"/>
      <c r="V25" s="71"/>
      <c r="W25" s="71">
        <v>0</v>
      </c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25"/>
    </row>
    <row r="26" spans="1:34" x14ac:dyDescent="0.25">
      <c r="A26" s="117" t="s">
        <v>314</v>
      </c>
      <c r="B26" s="12" t="s">
        <v>38</v>
      </c>
      <c r="C26" s="30">
        <v>445884</v>
      </c>
      <c r="D26" s="11">
        <v>44223</v>
      </c>
      <c r="E26" s="110">
        <v>45350</v>
      </c>
      <c r="F26" s="111">
        <f t="shared" si="1"/>
        <v>1127</v>
      </c>
      <c r="G26" s="12" t="s">
        <v>32</v>
      </c>
      <c r="H26" s="87">
        <v>1</v>
      </c>
      <c r="I26" s="87">
        <v>1</v>
      </c>
      <c r="J26" s="87">
        <v>1</v>
      </c>
      <c r="K26" s="87"/>
      <c r="L26" s="87"/>
      <c r="M26" s="87">
        <v>1</v>
      </c>
      <c r="N26" s="87"/>
      <c r="O26" s="87"/>
      <c r="P26" s="87"/>
      <c r="Q26" s="87">
        <v>1</v>
      </c>
      <c r="R26" s="87"/>
      <c r="S26" s="87">
        <v>0</v>
      </c>
      <c r="T26" s="87"/>
      <c r="U26" s="87"/>
      <c r="V26" s="87" t="s">
        <v>37</v>
      </c>
      <c r="W26" s="87">
        <v>0</v>
      </c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 spans="1:34" x14ac:dyDescent="0.25">
      <c r="A27" s="107" t="s">
        <v>321</v>
      </c>
      <c r="B27" s="33" t="s">
        <v>221</v>
      </c>
      <c r="C27" s="34">
        <v>865936</v>
      </c>
      <c r="D27" s="7">
        <v>44453</v>
      </c>
      <c r="E27" s="7">
        <v>45224</v>
      </c>
      <c r="F27" s="68">
        <f t="shared" si="1"/>
        <v>771</v>
      </c>
      <c r="G27" s="35" t="s">
        <v>171</v>
      </c>
      <c r="H27" s="70">
        <v>0</v>
      </c>
      <c r="I27" s="70">
        <v>1</v>
      </c>
      <c r="J27" s="71">
        <v>1</v>
      </c>
      <c r="K27" s="71"/>
      <c r="L27" s="71"/>
      <c r="M27" s="71"/>
      <c r="N27" s="71"/>
      <c r="O27" s="71"/>
      <c r="P27" s="71"/>
      <c r="Q27" s="71">
        <v>1</v>
      </c>
      <c r="R27" s="71">
        <v>1</v>
      </c>
      <c r="S27" s="71"/>
      <c r="T27" s="71"/>
      <c r="U27" s="71"/>
      <c r="V27" s="71" t="s">
        <v>222</v>
      </c>
      <c r="W27" s="71">
        <v>0</v>
      </c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spans="1:34" x14ac:dyDescent="0.25">
      <c r="A28" s="107" t="s">
        <v>343</v>
      </c>
      <c r="B28" s="21" t="s">
        <v>224</v>
      </c>
      <c r="C28" s="22">
        <v>1658581</v>
      </c>
      <c r="D28" s="7">
        <v>44454</v>
      </c>
      <c r="E28" s="7">
        <v>45182</v>
      </c>
      <c r="F28" s="68">
        <f t="shared" si="1"/>
        <v>728</v>
      </c>
      <c r="G28" s="24" t="s">
        <v>171</v>
      </c>
      <c r="H28" s="70">
        <v>0</v>
      </c>
      <c r="I28" s="70">
        <v>1</v>
      </c>
      <c r="J28" s="78">
        <v>2</v>
      </c>
      <c r="K28" s="78"/>
      <c r="L28" s="78"/>
      <c r="M28" s="78">
        <v>2</v>
      </c>
      <c r="N28" s="78"/>
      <c r="O28" s="78"/>
      <c r="P28" s="78"/>
      <c r="Q28" s="78">
        <v>2</v>
      </c>
      <c r="R28" s="78"/>
      <c r="S28" s="78"/>
      <c r="T28" s="78"/>
      <c r="U28" s="78"/>
      <c r="V28" s="78" t="s">
        <v>225</v>
      </c>
      <c r="W28" s="78">
        <v>0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</row>
    <row r="29" spans="1:34" x14ac:dyDescent="0.25">
      <c r="A29" s="106" t="s">
        <v>344</v>
      </c>
      <c r="B29" s="21" t="s">
        <v>252</v>
      </c>
      <c r="C29" s="22">
        <v>1743204</v>
      </c>
      <c r="D29" s="84">
        <v>44182</v>
      </c>
      <c r="E29" s="84">
        <v>45271</v>
      </c>
      <c r="F29" s="68">
        <f t="shared" si="1"/>
        <v>1089</v>
      </c>
      <c r="G29" s="24" t="s">
        <v>242</v>
      </c>
      <c r="H29" s="70">
        <v>0</v>
      </c>
      <c r="I29" s="70">
        <v>1</v>
      </c>
      <c r="J29" s="71">
        <v>1</v>
      </c>
      <c r="K29" s="71"/>
      <c r="L29" s="71"/>
      <c r="M29" s="71">
        <v>1</v>
      </c>
      <c r="N29" s="71"/>
      <c r="O29" s="71">
        <v>1</v>
      </c>
      <c r="P29" s="71"/>
      <c r="Q29" s="71"/>
      <c r="R29" s="71"/>
      <c r="S29" s="71"/>
      <c r="T29" s="71"/>
      <c r="U29" s="71"/>
      <c r="V29" s="71" t="s">
        <v>253</v>
      </c>
      <c r="W29" s="71">
        <v>0</v>
      </c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spans="1:34" x14ac:dyDescent="0.25">
      <c r="A30" s="118" t="s">
        <v>421</v>
      </c>
      <c r="B30" s="16" t="s">
        <v>39</v>
      </c>
      <c r="C30" s="137">
        <v>4851478</v>
      </c>
      <c r="D30" s="7">
        <v>44420</v>
      </c>
      <c r="E30" s="110">
        <v>45349</v>
      </c>
      <c r="F30" s="111">
        <f t="shared" si="1"/>
        <v>929</v>
      </c>
      <c r="G30" s="9" t="s">
        <v>40</v>
      </c>
      <c r="H30" s="112">
        <v>0</v>
      </c>
      <c r="I30" s="112">
        <v>1</v>
      </c>
      <c r="J30" s="112">
        <v>0</v>
      </c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>
        <v>0</v>
      </c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</row>
    <row r="31" spans="1:34" x14ac:dyDescent="0.25">
      <c r="A31" s="106" t="s">
        <v>345</v>
      </c>
      <c r="B31" s="9" t="s">
        <v>264</v>
      </c>
      <c r="C31" s="22">
        <v>1764235</v>
      </c>
      <c r="D31" s="84">
        <v>44265</v>
      </c>
      <c r="E31" s="84">
        <v>45198</v>
      </c>
      <c r="F31" s="68">
        <f t="shared" si="1"/>
        <v>933</v>
      </c>
      <c r="G31" s="24" t="s">
        <v>242</v>
      </c>
      <c r="H31" s="70">
        <v>0</v>
      </c>
      <c r="I31" s="70">
        <v>1</v>
      </c>
      <c r="J31" s="71">
        <v>0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>
        <v>0</v>
      </c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spans="1:34" x14ac:dyDescent="0.25">
      <c r="A32" s="106" t="s">
        <v>346</v>
      </c>
      <c r="B32" s="52" t="s">
        <v>216</v>
      </c>
      <c r="C32" s="53">
        <v>1766448</v>
      </c>
      <c r="D32" s="7">
        <v>44393</v>
      </c>
      <c r="E32" s="7">
        <v>45131</v>
      </c>
      <c r="F32" s="68">
        <f t="shared" si="1"/>
        <v>738</v>
      </c>
      <c r="G32" s="49" t="s">
        <v>171</v>
      </c>
      <c r="H32" s="70">
        <v>0</v>
      </c>
      <c r="I32" s="70">
        <v>1</v>
      </c>
      <c r="J32" s="79">
        <v>0</v>
      </c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>
        <v>0</v>
      </c>
      <c r="X32" s="79"/>
      <c r="Y32" s="79"/>
      <c r="Z32" s="79"/>
      <c r="AA32" s="79"/>
      <c r="AB32" s="79"/>
      <c r="AC32" s="79"/>
      <c r="AD32" s="79"/>
      <c r="AE32" s="79"/>
      <c r="AF32" s="79"/>
      <c r="AG32" s="79"/>
    </row>
    <row r="33" spans="1:34" x14ac:dyDescent="0.25">
      <c r="A33" s="106" t="s">
        <v>348</v>
      </c>
      <c r="B33" s="44" t="s">
        <v>276</v>
      </c>
      <c r="C33" s="63">
        <v>1819735</v>
      </c>
      <c r="D33" s="84">
        <v>44371</v>
      </c>
      <c r="E33" s="84">
        <v>45127</v>
      </c>
      <c r="F33" s="68">
        <f t="shared" si="1"/>
        <v>756</v>
      </c>
      <c r="G33" s="24" t="s">
        <v>242</v>
      </c>
      <c r="H33" s="70">
        <v>0</v>
      </c>
      <c r="I33" s="70">
        <v>1</v>
      </c>
      <c r="J33" s="78">
        <v>0</v>
      </c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>
        <v>0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</row>
    <row r="34" spans="1:34" x14ac:dyDescent="0.25">
      <c r="A34" s="106" t="s">
        <v>350</v>
      </c>
      <c r="B34" s="50" t="s">
        <v>283</v>
      </c>
      <c r="C34" s="49">
        <v>1978750</v>
      </c>
      <c r="D34" s="84">
        <v>44390</v>
      </c>
      <c r="E34" s="84">
        <v>45175</v>
      </c>
      <c r="F34" s="68">
        <f t="shared" si="1"/>
        <v>785</v>
      </c>
      <c r="G34" s="49" t="s">
        <v>242</v>
      </c>
      <c r="H34" s="70">
        <v>0</v>
      </c>
      <c r="I34" s="70">
        <v>1</v>
      </c>
      <c r="J34" s="79">
        <v>1</v>
      </c>
      <c r="K34" s="79"/>
      <c r="L34" s="79"/>
      <c r="M34" s="79">
        <v>1</v>
      </c>
      <c r="N34" s="79"/>
      <c r="O34" s="79">
        <v>1</v>
      </c>
      <c r="P34" s="79"/>
      <c r="Q34" s="79"/>
      <c r="R34" s="79"/>
      <c r="S34" s="79"/>
      <c r="T34" s="79"/>
      <c r="U34" s="79"/>
      <c r="V34" s="79"/>
      <c r="W34" s="79">
        <v>0</v>
      </c>
      <c r="X34" s="79"/>
      <c r="Y34" s="79"/>
      <c r="Z34" s="79"/>
      <c r="AA34" s="79"/>
      <c r="AB34" s="79"/>
      <c r="AC34" s="79"/>
      <c r="AD34" s="79"/>
      <c r="AE34" s="79"/>
      <c r="AF34" s="79"/>
      <c r="AG34" s="79"/>
    </row>
    <row r="35" spans="1:34" x14ac:dyDescent="0.25">
      <c r="A35" s="106" t="s">
        <v>355</v>
      </c>
      <c r="B35" s="21" t="s">
        <v>185</v>
      </c>
      <c r="C35" s="22">
        <v>2071874</v>
      </c>
      <c r="D35" s="7">
        <v>44174</v>
      </c>
      <c r="E35" s="7">
        <v>44900</v>
      </c>
      <c r="F35" s="68">
        <f t="shared" si="1"/>
        <v>726</v>
      </c>
      <c r="G35" s="24" t="s">
        <v>171</v>
      </c>
      <c r="H35" s="70">
        <v>0</v>
      </c>
      <c r="I35" s="70">
        <v>1</v>
      </c>
      <c r="J35" s="71">
        <v>0</v>
      </c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>
        <v>0</v>
      </c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spans="1:34" x14ac:dyDescent="0.25">
      <c r="A36" s="106" t="s">
        <v>353</v>
      </c>
      <c r="B36" s="28" t="s">
        <v>177</v>
      </c>
      <c r="C36" s="29">
        <v>2024736</v>
      </c>
      <c r="D36" s="11">
        <v>44158</v>
      </c>
      <c r="E36" s="11">
        <v>44953</v>
      </c>
      <c r="F36" s="68">
        <f t="shared" si="1"/>
        <v>795</v>
      </c>
      <c r="G36" s="30" t="s">
        <v>171</v>
      </c>
      <c r="H36" s="70" t="s">
        <v>172</v>
      </c>
      <c r="I36" s="74">
        <v>0</v>
      </c>
      <c r="J36" s="75" t="s">
        <v>172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114"/>
    </row>
    <row r="37" spans="1:34" x14ac:dyDescent="0.25">
      <c r="A37" s="106" t="s">
        <v>359</v>
      </c>
      <c r="B37" s="33" t="s">
        <v>286</v>
      </c>
      <c r="C37" s="35">
        <v>2202418</v>
      </c>
      <c r="D37" s="84">
        <v>44425</v>
      </c>
      <c r="E37" s="84">
        <v>45236</v>
      </c>
      <c r="F37" s="68">
        <f t="shared" si="1"/>
        <v>811</v>
      </c>
      <c r="G37" s="35" t="s">
        <v>242</v>
      </c>
      <c r="H37" s="70">
        <v>0</v>
      </c>
      <c r="I37" s="70">
        <v>1</v>
      </c>
      <c r="J37" s="71">
        <v>0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>
        <v>0</v>
      </c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spans="1:34" x14ac:dyDescent="0.25">
      <c r="A38" s="108" t="s">
        <v>471</v>
      </c>
      <c r="B38" s="9" t="s">
        <v>41</v>
      </c>
      <c r="C38" s="135">
        <v>6378361</v>
      </c>
      <c r="D38" s="7">
        <v>44293</v>
      </c>
      <c r="E38" s="110">
        <v>44673</v>
      </c>
      <c r="F38" s="111">
        <f t="shared" si="1"/>
        <v>380</v>
      </c>
      <c r="G38" s="9" t="s">
        <v>32</v>
      </c>
      <c r="H38" s="87">
        <v>1</v>
      </c>
      <c r="I38" s="87">
        <v>1</v>
      </c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 t="s">
        <v>302</v>
      </c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</row>
    <row r="39" spans="1:34" x14ac:dyDescent="0.25">
      <c r="A39" s="108" t="s">
        <v>357</v>
      </c>
      <c r="B39" s="21" t="s">
        <v>42</v>
      </c>
      <c r="C39" s="135">
        <v>2162352</v>
      </c>
      <c r="D39" s="7">
        <v>44274</v>
      </c>
      <c r="E39" s="110">
        <v>45377</v>
      </c>
      <c r="F39" s="111">
        <f t="shared" si="1"/>
        <v>1103</v>
      </c>
      <c r="G39" s="9" t="s">
        <v>32</v>
      </c>
      <c r="H39" s="112">
        <v>1</v>
      </c>
      <c r="I39" s="112">
        <v>1</v>
      </c>
      <c r="J39" s="112">
        <v>1</v>
      </c>
      <c r="K39" s="112"/>
      <c r="L39" s="112"/>
      <c r="M39" s="112">
        <v>1</v>
      </c>
      <c r="N39" s="112">
        <v>1</v>
      </c>
      <c r="O39" s="112"/>
      <c r="P39" s="112"/>
      <c r="Q39" s="112"/>
      <c r="R39" s="112">
        <v>1</v>
      </c>
      <c r="S39" s="112">
        <v>1</v>
      </c>
      <c r="T39" s="112"/>
      <c r="U39" s="112"/>
      <c r="V39" s="112" t="s">
        <v>37</v>
      </c>
      <c r="W39" s="112">
        <v>0</v>
      </c>
      <c r="X39" s="112"/>
      <c r="Y39" s="112"/>
      <c r="Z39" s="112"/>
      <c r="AA39" s="112"/>
      <c r="AB39" s="112"/>
      <c r="AC39" s="112"/>
      <c r="AD39" s="112"/>
      <c r="AE39" s="112"/>
      <c r="AF39" s="112"/>
      <c r="AG39" s="112">
        <v>2</v>
      </c>
    </row>
    <row r="40" spans="1:34" x14ac:dyDescent="0.25">
      <c r="A40" s="106" t="s">
        <v>354</v>
      </c>
      <c r="B40" s="33" t="s">
        <v>239</v>
      </c>
      <c r="C40" s="34">
        <v>2045165</v>
      </c>
      <c r="D40" s="7">
        <v>44468</v>
      </c>
      <c r="E40" s="7">
        <v>45238</v>
      </c>
      <c r="F40" s="68">
        <f t="shared" si="1"/>
        <v>770</v>
      </c>
      <c r="G40" s="35" t="s">
        <v>171</v>
      </c>
      <c r="H40" s="70">
        <v>0</v>
      </c>
      <c r="I40" s="70">
        <v>1</v>
      </c>
      <c r="J40" s="79">
        <v>2</v>
      </c>
      <c r="K40" s="71"/>
      <c r="L40" s="71">
        <v>1</v>
      </c>
      <c r="M40" s="71"/>
      <c r="N40" s="71"/>
      <c r="O40" s="71">
        <v>2</v>
      </c>
      <c r="P40" s="71"/>
      <c r="Q40" s="71">
        <v>2</v>
      </c>
      <c r="R40" s="71"/>
      <c r="S40" s="71"/>
      <c r="T40" s="71"/>
      <c r="U40" s="71"/>
      <c r="V40" s="71"/>
      <c r="W40" s="71">
        <v>0</v>
      </c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spans="1:34" x14ac:dyDescent="0.25">
      <c r="A41" s="106" t="s">
        <v>358</v>
      </c>
      <c r="B41" s="23" t="s">
        <v>202</v>
      </c>
      <c r="C41" s="22">
        <v>2192350</v>
      </c>
      <c r="D41" s="7">
        <v>44340</v>
      </c>
      <c r="E41" s="7">
        <v>45266</v>
      </c>
      <c r="F41" s="68">
        <f t="shared" si="1"/>
        <v>926</v>
      </c>
      <c r="G41" s="23" t="s">
        <v>171</v>
      </c>
      <c r="H41" s="70">
        <v>0</v>
      </c>
      <c r="I41" s="70">
        <v>1</v>
      </c>
      <c r="J41" s="68">
        <v>2</v>
      </c>
      <c r="K41" s="68"/>
      <c r="L41" s="68"/>
      <c r="M41" s="68">
        <v>2</v>
      </c>
      <c r="N41" s="68">
        <v>2</v>
      </c>
      <c r="O41" s="68"/>
      <c r="P41" s="68"/>
      <c r="Q41" s="68">
        <v>2</v>
      </c>
      <c r="R41" s="68"/>
      <c r="S41" s="68"/>
      <c r="T41" s="68"/>
      <c r="U41" s="68"/>
      <c r="V41" s="68" t="s">
        <v>203</v>
      </c>
      <c r="W41" s="68">
        <v>3</v>
      </c>
      <c r="X41" s="68"/>
      <c r="Y41" s="68"/>
      <c r="Z41" s="68"/>
      <c r="AA41" s="68"/>
      <c r="AB41" s="68">
        <v>1</v>
      </c>
      <c r="AC41" s="68">
        <v>1</v>
      </c>
      <c r="AD41" s="68">
        <v>1</v>
      </c>
      <c r="AE41" s="68"/>
      <c r="AF41" s="68"/>
      <c r="AG41" s="68"/>
    </row>
    <row r="42" spans="1:34" x14ac:dyDescent="0.25">
      <c r="A42" s="106" t="s">
        <v>365</v>
      </c>
      <c r="B42" s="21" t="s">
        <v>244</v>
      </c>
      <c r="C42" s="22">
        <v>2363434</v>
      </c>
      <c r="D42" s="84">
        <v>44165</v>
      </c>
      <c r="E42" s="84">
        <v>44729</v>
      </c>
      <c r="F42" s="68">
        <f t="shared" si="1"/>
        <v>564</v>
      </c>
      <c r="G42" s="55" t="s">
        <v>242</v>
      </c>
      <c r="H42" s="86">
        <v>1</v>
      </c>
      <c r="I42" s="86">
        <v>1</v>
      </c>
      <c r="J42" s="87" t="s">
        <v>172</v>
      </c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</row>
    <row r="43" spans="1:34" x14ac:dyDescent="0.25">
      <c r="A43" s="106" t="s">
        <v>362</v>
      </c>
      <c r="B43" s="21" t="s">
        <v>249</v>
      </c>
      <c r="C43" s="22">
        <v>2279275</v>
      </c>
      <c r="D43" s="84">
        <v>44183</v>
      </c>
      <c r="E43" s="84">
        <v>45126</v>
      </c>
      <c r="F43" s="68">
        <f t="shared" si="1"/>
        <v>943</v>
      </c>
      <c r="G43" s="24" t="s">
        <v>242</v>
      </c>
      <c r="H43" s="70">
        <v>0</v>
      </c>
      <c r="I43" s="70">
        <v>1</v>
      </c>
      <c r="J43" s="71">
        <v>0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>
        <v>0</v>
      </c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spans="1:34" x14ac:dyDescent="0.25">
      <c r="A44" s="106" t="s">
        <v>361</v>
      </c>
      <c r="B44" s="9" t="s">
        <v>190</v>
      </c>
      <c r="C44" s="22">
        <v>2250030</v>
      </c>
      <c r="D44" s="7">
        <v>44266</v>
      </c>
      <c r="E44" s="7">
        <v>45188</v>
      </c>
      <c r="F44" s="68">
        <f t="shared" si="1"/>
        <v>922</v>
      </c>
      <c r="G44" s="24" t="s">
        <v>171</v>
      </c>
      <c r="H44" s="70">
        <v>0</v>
      </c>
      <c r="I44" s="70">
        <v>1</v>
      </c>
      <c r="J44" s="71">
        <v>2</v>
      </c>
      <c r="K44" s="71"/>
      <c r="L44" s="71"/>
      <c r="M44" s="71"/>
      <c r="N44" s="71"/>
      <c r="O44" s="71">
        <v>2</v>
      </c>
      <c r="P44" s="71"/>
      <c r="Q44" s="71">
        <v>2</v>
      </c>
      <c r="R44" s="71"/>
      <c r="S44" s="71"/>
      <c r="T44" s="71"/>
      <c r="U44" s="71"/>
      <c r="V44" s="71" t="s">
        <v>191</v>
      </c>
      <c r="W44" s="71">
        <v>0</v>
      </c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spans="1:34" x14ac:dyDescent="0.25">
      <c r="A45" s="106" t="s">
        <v>367</v>
      </c>
      <c r="B45" s="62" t="s">
        <v>270</v>
      </c>
      <c r="C45" s="30">
        <v>2447128</v>
      </c>
      <c r="D45" s="85">
        <v>44320</v>
      </c>
      <c r="E45" s="85">
        <v>44441</v>
      </c>
      <c r="F45" s="68">
        <f t="shared" si="1"/>
        <v>121</v>
      </c>
      <c r="G45" s="30" t="s">
        <v>242</v>
      </c>
      <c r="H45" s="70" t="s">
        <v>172</v>
      </c>
      <c r="I45" s="74">
        <v>0</v>
      </c>
      <c r="J45" s="81" t="s">
        <v>172</v>
      </c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114"/>
    </row>
    <row r="46" spans="1:34" x14ac:dyDescent="0.25">
      <c r="A46" s="106" t="s">
        <v>369</v>
      </c>
      <c r="B46" s="21" t="s">
        <v>186</v>
      </c>
      <c r="C46" s="22">
        <v>2513243</v>
      </c>
      <c r="D46" s="7">
        <v>44203</v>
      </c>
      <c r="E46" s="7">
        <v>45146</v>
      </c>
      <c r="F46" s="68">
        <f t="shared" si="1"/>
        <v>943</v>
      </c>
      <c r="G46" s="24" t="s">
        <v>171</v>
      </c>
      <c r="H46" s="70">
        <v>0</v>
      </c>
      <c r="I46" s="70">
        <v>1</v>
      </c>
      <c r="J46" s="71">
        <v>0</v>
      </c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>
        <v>0</v>
      </c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spans="1:34" x14ac:dyDescent="0.25">
      <c r="A47" s="106" t="s">
        <v>371</v>
      </c>
      <c r="B47" s="50" t="s">
        <v>287</v>
      </c>
      <c r="C47" s="49">
        <v>2581772</v>
      </c>
      <c r="D47" s="84">
        <v>44434</v>
      </c>
      <c r="E47" s="84">
        <v>45170</v>
      </c>
      <c r="F47" s="68">
        <f t="shared" si="1"/>
        <v>736</v>
      </c>
      <c r="G47" s="49" t="s">
        <v>242</v>
      </c>
      <c r="H47" s="70">
        <v>0</v>
      </c>
      <c r="I47" s="70">
        <v>1</v>
      </c>
      <c r="J47" s="79">
        <v>0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>
        <v>0</v>
      </c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25"/>
    </row>
    <row r="48" spans="1:34" x14ac:dyDescent="0.25">
      <c r="A48" s="106" t="s">
        <v>403</v>
      </c>
      <c r="B48" s="50" t="s">
        <v>241</v>
      </c>
      <c r="C48" s="51">
        <v>4184793</v>
      </c>
      <c r="D48" s="7">
        <v>44482</v>
      </c>
      <c r="E48" s="7">
        <v>45141</v>
      </c>
      <c r="F48" s="68">
        <f t="shared" si="1"/>
        <v>659</v>
      </c>
      <c r="G48" s="49" t="s">
        <v>171</v>
      </c>
      <c r="H48" s="80">
        <v>1</v>
      </c>
      <c r="I48" s="80">
        <v>1</v>
      </c>
      <c r="J48" s="79" t="s">
        <v>172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</row>
    <row r="49" spans="1:34" x14ac:dyDescent="0.25">
      <c r="A49" s="106" t="s">
        <v>370</v>
      </c>
      <c r="B49" s="50" t="s">
        <v>230</v>
      </c>
      <c r="C49" s="51">
        <v>2546984</v>
      </c>
      <c r="D49" s="7">
        <v>44414</v>
      </c>
      <c r="E49" s="7">
        <v>45146</v>
      </c>
      <c r="F49" s="68">
        <f t="shared" si="1"/>
        <v>732</v>
      </c>
      <c r="G49" s="49" t="s">
        <v>171</v>
      </c>
      <c r="H49" s="70">
        <v>0</v>
      </c>
      <c r="I49" s="70">
        <v>1</v>
      </c>
      <c r="J49" s="79">
        <v>2</v>
      </c>
      <c r="K49" s="79"/>
      <c r="L49" s="79"/>
      <c r="M49" s="79">
        <v>2</v>
      </c>
      <c r="N49" s="79">
        <v>1</v>
      </c>
      <c r="O49" s="79"/>
      <c r="P49" s="79"/>
      <c r="Q49" s="79">
        <v>1</v>
      </c>
      <c r="R49" s="79"/>
      <c r="S49" s="79"/>
      <c r="T49" s="79"/>
      <c r="U49" s="79"/>
      <c r="V49" s="79" t="s">
        <v>231</v>
      </c>
      <c r="W49" s="79">
        <v>1</v>
      </c>
      <c r="X49" s="79"/>
      <c r="Y49" s="79"/>
      <c r="Z49" s="79">
        <v>1</v>
      </c>
      <c r="AA49" s="79"/>
      <c r="AB49" s="79"/>
      <c r="AC49" s="79"/>
      <c r="AD49" s="79"/>
      <c r="AE49" s="79" t="s">
        <v>232</v>
      </c>
      <c r="AF49" s="79"/>
      <c r="AG49" s="79"/>
    </row>
    <row r="50" spans="1:34" x14ac:dyDescent="0.25">
      <c r="A50" s="106" t="s">
        <v>372</v>
      </c>
      <c r="B50" s="44" t="s">
        <v>238</v>
      </c>
      <c r="C50" s="46">
        <v>2606163</v>
      </c>
      <c r="D50" s="7">
        <v>44505</v>
      </c>
      <c r="E50" s="7">
        <v>45259</v>
      </c>
      <c r="F50" s="68">
        <f t="shared" si="1"/>
        <v>754</v>
      </c>
      <c r="G50" s="24" t="s">
        <v>171</v>
      </c>
      <c r="H50" s="70">
        <v>0</v>
      </c>
      <c r="I50" s="70">
        <v>1</v>
      </c>
      <c r="J50" s="78">
        <v>1</v>
      </c>
      <c r="K50" s="78"/>
      <c r="L50" s="78"/>
      <c r="M50" s="78">
        <v>1</v>
      </c>
      <c r="N50" s="78"/>
      <c r="O50" s="78"/>
      <c r="P50" s="78"/>
      <c r="Q50" s="78"/>
      <c r="R50" s="78"/>
      <c r="S50" s="78"/>
      <c r="T50" s="78"/>
      <c r="U50" s="78"/>
      <c r="V50" s="78"/>
      <c r="W50" s="78">
        <v>0</v>
      </c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44"/>
    </row>
    <row r="51" spans="1:34" x14ac:dyDescent="0.25">
      <c r="A51" s="117" t="s">
        <v>454</v>
      </c>
      <c r="B51" s="101" t="s">
        <v>43</v>
      </c>
      <c r="C51" s="138">
        <v>6007874</v>
      </c>
      <c r="D51" s="11">
        <v>44298</v>
      </c>
      <c r="E51" s="110">
        <v>45397</v>
      </c>
      <c r="F51" s="111">
        <f t="shared" si="1"/>
        <v>1099</v>
      </c>
      <c r="G51" s="12" t="s">
        <v>32</v>
      </c>
      <c r="H51" s="87">
        <v>1</v>
      </c>
      <c r="I51" s="87">
        <v>1</v>
      </c>
      <c r="J51" s="87">
        <v>0</v>
      </c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 t="s">
        <v>44</v>
      </c>
      <c r="W51" s="87">
        <v>0</v>
      </c>
      <c r="X51" s="87"/>
      <c r="Y51" s="87"/>
      <c r="Z51" s="87"/>
      <c r="AA51" s="87"/>
      <c r="AB51" s="87"/>
      <c r="AC51" s="87"/>
      <c r="AD51" s="87"/>
      <c r="AE51" s="87"/>
      <c r="AF51" s="87"/>
      <c r="AG51" s="87"/>
    </row>
    <row r="52" spans="1:34" x14ac:dyDescent="0.25">
      <c r="A52" s="106" t="s">
        <v>375</v>
      </c>
      <c r="B52" s="33" t="s">
        <v>194</v>
      </c>
      <c r="C52" s="34">
        <v>2797309</v>
      </c>
      <c r="D52" s="7">
        <v>44291</v>
      </c>
      <c r="E52" s="7">
        <v>45266</v>
      </c>
      <c r="F52" s="68">
        <f t="shared" si="1"/>
        <v>975</v>
      </c>
      <c r="G52" s="24" t="s">
        <v>171</v>
      </c>
      <c r="H52" s="70">
        <v>0</v>
      </c>
      <c r="I52" s="70">
        <v>1</v>
      </c>
      <c r="J52" s="71">
        <v>0</v>
      </c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>
        <v>0</v>
      </c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spans="1:34" x14ac:dyDescent="0.25">
      <c r="A53" s="106" t="s">
        <v>373</v>
      </c>
      <c r="B53" s="56" t="s">
        <v>265</v>
      </c>
      <c r="C53" s="57">
        <v>2664848</v>
      </c>
      <c r="D53" s="84">
        <v>44267</v>
      </c>
      <c r="E53" s="84">
        <v>45266</v>
      </c>
      <c r="F53" s="68">
        <f t="shared" si="1"/>
        <v>999</v>
      </c>
      <c r="G53" s="35" t="s">
        <v>242</v>
      </c>
      <c r="H53" s="70">
        <v>0</v>
      </c>
      <c r="I53" s="70">
        <v>1</v>
      </c>
      <c r="J53" s="71">
        <v>0</v>
      </c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>
        <v>0</v>
      </c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spans="1:34" x14ac:dyDescent="0.25">
      <c r="A54" s="106" t="s">
        <v>379</v>
      </c>
      <c r="B54" s="28" t="s">
        <v>266</v>
      </c>
      <c r="C54" s="29">
        <v>3334743</v>
      </c>
      <c r="D54" s="85">
        <v>44279</v>
      </c>
      <c r="E54" s="85">
        <v>44712</v>
      </c>
      <c r="F54" s="68">
        <f t="shared" si="1"/>
        <v>433</v>
      </c>
      <c r="G54" s="30" t="s">
        <v>242</v>
      </c>
      <c r="H54" s="70" t="s">
        <v>172</v>
      </c>
      <c r="I54" s="74">
        <v>0</v>
      </c>
      <c r="J54" s="75" t="s">
        <v>172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114"/>
    </row>
    <row r="55" spans="1:34" ht="15.75" x14ac:dyDescent="0.25">
      <c r="A55" s="119" t="s">
        <v>378</v>
      </c>
      <c r="B55" s="58" t="s">
        <v>267</v>
      </c>
      <c r="C55" s="34">
        <v>3318633</v>
      </c>
      <c r="D55" s="84">
        <v>44286</v>
      </c>
      <c r="E55" s="84">
        <v>45205</v>
      </c>
      <c r="F55" s="68">
        <f t="shared" si="1"/>
        <v>919</v>
      </c>
      <c r="G55" s="24" t="s">
        <v>242</v>
      </c>
      <c r="H55" s="70">
        <v>0</v>
      </c>
      <c r="I55" s="70">
        <v>1</v>
      </c>
      <c r="J55" s="71">
        <v>0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>
        <v>0</v>
      </c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spans="1:34" x14ac:dyDescent="0.25">
      <c r="A56" s="106" t="s">
        <v>384</v>
      </c>
      <c r="B56" s="25" t="s">
        <v>274</v>
      </c>
      <c r="C56" s="64">
        <v>3446956</v>
      </c>
      <c r="D56" s="84">
        <v>44354</v>
      </c>
      <c r="E56" s="84">
        <v>45202</v>
      </c>
      <c r="F56" s="68">
        <f t="shared" si="1"/>
        <v>848</v>
      </c>
      <c r="G56" s="35" t="s">
        <v>242</v>
      </c>
      <c r="H56" s="70">
        <v>0</v>
      </c>
      <c r="I56" s="70">
        <v>1</v>
      </c>
      <c r="J56" s="78">
        <v>1</v>
      </c>
      <c r="K56" s="71"/>
      <c r="L56" s="71"/>
      <c r="M56" s="71">
        <v>1</v>
      </c>
      <c r="N56" s="71"/>
      <c r="O56" s="71"/>
      <c r="P56" s="71"/>
      <c r="Q56" s="71">
        <v>1</v>
      </c>
      <c r="R56" s="71"/>
      <c r="S56" s="71"/>
      <c r="T56" s="71"/>
      <c r="U56" s="71"/>
      <c r="V56" s="71"/>
      <c r="W56" s="78">
        <v>0</v>
      </c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spans="1:34" x14ac:dyDescent="0.25">
      <c r="A57" s="106" t="s">
        <v>387</v>
      </c>
      <c r="B57" s="33" t="s">
        <v>235</v>
      </c>
      <c r="C57" s="34">
        <v>3508326</v>
      </c>
      <c r="D57" s="7">
        <v>44463</v>
      </c>
      <c r="E57" s="7">
        <v>45230</v>
      </c>
      <c r="F57" s="68">
        <f t="shared" si="1"/>
        <v>767</v>
      </c>
      <c r="G57" s="35" t="s">
        <v>171</v>
      </c>
      <c r="H57" s="70">
        <v>0</v>
      </c>
      <c r="I57" s="70">
        <v>1</v>
      </c>
      <c r="J57" s="79">
        <v>2</v>
      </c>
      <c r="K57" s="71"/>
      <c r="L57" s="71">
        <v>1</v>
      </c>
      <c r="M57" s="71">
        <v>2</v>
      </c>
      <c r="N57" s="71">
        <v>2</v>
      </c>
      <c r="O57" s="71"/>
      <c r="P57" s="71"/>
      <c r="Q57" s="71">
        <v>2</v>
      </c>
      <c r="R57" s="71"/>
      <c r="S57" s="71"/>
      <c r="T57" s="71"/>
      <c r="U57" s="71"/>
      <c r="V57" s="71" t="s">
        <v>236</v>
      </c>
      <c r="W57" s="79">
        <v>1</v>
      </c>
      <c r="X57" s="71"/>
      <c r="Y57" s="71"/>
      <c r="Z57" s="71">
        <v>1</v>
      </c>
      <c r="AA57" s="71"/>
      <c r="AB57" s="71"/>
      <c r="AC57" s="71"/>
      <c r="AD57" s="71"/>
      <c r="AE57" s="71"/>
      <c r="AF57" s="71"/>
      <c r="AG57" s="71"/>
    </row>
    <row r="58" spans="1:34" x14ac:dyDescent="0.25">
      <c r="A58" s="106" t="s">
        <v>389</v>
      </c>
      <c r="B58" s="25" t="s">
        <v>237</v>
      </c>
      <c r="C58" s="40">
        <v>3567123</v>
      </c>
      <c r="D58" s="7">
        <v>44463</v>
      </c>
      <c r="E58" s="7">
        <v>45258</v>
      </c>
      <c r="F58" s="68">
        <f t="shared" si="1"/>
        <v>795</v>
      </c>
      <c r="G58" s="35" t="s">
        <v>171</v>
      </c>
      <c r="H58" s="70">
        <v>0</v>
      </c>
      <c r="I58" s="70">
        <v>1</v>
      </c>
      <c r="J58" s="71">
        <v>2</v>
      </c>
      <c r="K58" s="71"/>
      <c r="L58" s="71"/>
      <c r="M58" s="71">
        <v>2</v>
      </c>
      <c r="N58" s="71"/>
      <c r="O58" s="71"/>
      <c r="P58" s="71"/>
      <c r="Q58" s="71"/>
      <c r="R58" s="71"/>
      <c r="S58" s="71"/>
      <c r="T58" s="71"/>
      <c r="U58" s="71"/>
      <c r="V58" s="71"/>
      <c r="W58" s="71">
        <v>0</v>
      </c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25"/>
    </row>
    <row r="59" spans="1:34" x14ac:dyDescent="0.25">
      <c r="A59" s="106" t="s">
        <v>388</v>
      </c>
      <c r="B59" s="33" t="s">
        <v>299</v>
      </c>
      <c r="C59" s="35">
        <v>3540097</v>
      </c>
      <c r="D59" s="84">
        <v>44501</v>
      </c>
      <c r="E59" s="84">
        <v>45223</v>
      </c>
      <c r="F59" s="68">
        <f t="shared" si="1"/>
        <v>722</v>
      </c>
      <c r="G59" s="35" t="s">
        <v>242</v>
      </c>
      <c r="H59" s="82">
        <v>0</v>
      </c>
      <c r="I59" s="70">
        <v>1</v>
      </c>
      <c r="J59" s="79">
        <v>0</v>
      </c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9">
        <v>0</v>
      </c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25"/>
    </row>
    <row r="60" spans="1:34" x14ac:dyDescent="0.25">
      <c r="A60" s="106" t="s">
        <v>390</v>
      </c>
      <c r="B60" s="33" t="s">
        <v>180</v>
      </c>
      <c r="C60" s="34">
        <v>3608742</v>
      </c>
      <c r="D60" s="7">
        <v>44286</v>
      </c>
      <c r="E60" s="7">
        <v>45265</v>
      </c>
      <c r="F60" s="68">
        <f t="shared" si="1"/>
        <v>979</v>
      </c>
      <c r="G60" s="35" t="s">
        <v>171</v>
      </c>
      <c r="H60" s="70">
        <v>0</v>
      </c>
      <c r="I60" s="70">
        <v>1</v>
      </c>
      <c r="J60" s="71">
        <v>2</v>
      </c>
      <c r="K60" s="72"/>
      <c r="L60" s="71"/>
      <c r="M60" s="71">
        <v>2</v>
      </c>
      <c r="N60" s="71">
        <v>1</v>
      </c>
      <c r="O60" s="71"/>
      <c r="P60" s="71"/>
      <c r="Q60" s="71">
        <v>2</v>
      </c>
      <c r="R60" s="71"/>
      <c r="S60" s="71"/>
      <c r="T60" s="71"/>
      <c r="U60" s="71"/>
      <c r="V60" s="71" t="s">
        <v>181</v>
      </c>
      <c r="W60" s="71">
        <v>1</v>
      </c>
      <c r="X60" s="71"/>
      <c r="Y60" s="71"/>
      <c r="Z60" s="71"/>
      <c r="AA60" s="71"/>
      <c r="AB60" s="71">
        <v>1</v>
      </c>
      <c r="AC60" s="71"/>
      <c r="AD60" s="71"/>
      <c r="AE60" s="71"/>
      <c r="AF60" s="71"/>
      <c r="AG60" s="71"/>
    </row>
    <row r="61" spans="1:34" x14ac:dyDescent="0.25">
      <c r="A61" s="106" t="s">
        <v>508</v>
      </c>
      <c r="B61" s="98" t="s">
        <v>144</v>
      </c>
      <c r="C61" s="139" t="s">
        <v>145</v>
      </c>
      <c r="D61" s="115">
        <v>44340</v>
      </c>
      <c r="E61" s="115">
        <v>45475</v>
      </c>
      <c r="F61" s="116">
        <f>(E61-D61)</f>
        <v>1135</v>
      </c>
      <c r="G61" s="105" t="s">
        <v>36</v>
      </c>
      <c r="H61" s="112">
        <v>0</v>
      </c>
      <c r="I61" s="112">
        <v>1</v>
      </c>
      <c r="J61" s="112">
        <v>1</v>
      </c>
      <c r="K61" s="112"/>
      <c r="L61" s="112"/>
      <c r="M61" s="112"/>
      <c r="N61" s="112">
        <v>2</v>
      </c>
      <c r="O61" s="112"/>
      <c r="P61" s="112"/>
      <c r="Q61" s="112"/>
      <c r="R61" s="112"/>
      <c r="S61" s="112"/>
      <c r="T61" s="112"/>
      <c r="U61" s="112"/>
      <c r="V61" s="112"/>
      <c r="W61" s="112">
        <v>0</v>
      </c>
      <c r="X61" s="112"/>
      <c r="Y61" s="112"/>
      <c r="Z61" s="112"/>
      <c r="AA61" s="112"/>
      <c r="AB61" s="112"/>
      <c r="AC61" s="112"/>
      <c r="AD61" s="112"/>
      <c r="AE61" s="112"/>
      <c r="AF61" s="112"/>
      <c r="AG61" s="112">
        <v>1</v>
      </c>
      <c r="AH61" s="112"/>
    </row>
    <row r="62" spans="1:34" x14ac:dyDescent="0.25">
      <c r="A62" s="106" t="s">
        <v>392</v>
      </c>
      <c r="B62" s="91" t="s">
        <v>93</v>
      </c>
      <c r="C62" s="93">
        <v>3654890</v>
      </c>
      <c r="D62" s="7">
        <v>44593</v>
      </c>
      <c r="E62" s="110">
        <v>45328</v>
      </c>
      <c r="F62" s="111">
        <f t="shared" ref="F62:F68" si="2">E62-D62</f>
        <v>735</v>
      </c>
      <c r="G62" s="9" t="s">
        <v>65</v>
      </c>
      <c r="H62" s="112">
        <v>0</v>
      </c>
      <c r="I62" s="112">
        <v>1</v>
      </c>
      <c r="J62" s="112">
        <v>0</v>
      </c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>
        <v>0</v>
      </c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</row>
    <row r="63" spans="1:34" x14ac:dyDescent="0.25">
      <c r="A63" s="106" t="s">
        <v>394</v>
      </c>
      <c r="B63" s="25" t="s">
        <v>282</v>
      </c>
      <c r="C63" s="40">
        <v>3711750</v>
      </c>
      <c r="D63" s="84">
        <v>44412</v>
      </c>
      <c r="E63" s="84">
        <v>44993</v>
      </c>
      <c r="F63" s="68">
        <f t="shared" si="2"/>
        <v>581</v>
      </c>
      <c r="G63" s="35" t="s">
        <v>242</v>
      </c>
      <c r="H63" s="88">
        <v>1</v>
      </c>
      <c r="I63" s="89">
        <v>1</v>
      </c>
      <c r="J63" s="87">
        <v>0</v>
      </c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>
        <v>0</v>
      </c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spans="1:34" x14ac:dyDescent="0.25">
      <c r="A64" s="106" t="s">
        <v>395</v>
      </c>
      <c r="B64" s="44" t="s">
        <v>204</v>
      </c>
      <c r="C64" s="22">
        <v>3725958</v>
      </c>
      <c r="D64" s="7">
        <v>44305</v>
      </c>
      <c r="E64" s="7">
        <v>45266</v>
      </c>
      <c r="F64" s="68">
        <f t="shared" si="2"/>
        <v>961</v>
      </c>
      <c r="G64" s="24" t="s">
        <v>171</v>
      </c>
      <c r="H64" s="70">
        <v>0</v>
      </c>
      <c r="I64" s="70">
        <v>1</v>
      </c>
      <c r="J64" s="78">
        <v>0</v>
      </c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>
        <v>0</v>
      </c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25"/>
    </row>
    <row r="65" spans="1:34" x14ac:dyDescent="0.25">
      <c r="A65" s="106" t="s">
        <v>514</v>
      </c>
      <c r="B65" s="47" t="s">
        <v>223</v>
      </c>
      <c r="C65" s="48">
        <v>3925175</v>
      </c>
      <c r="D65" s="7">
        <v>44392</v>
      </c>
      <c r="E65" s="7">
        <v>45133</v>
      </c>
      <c r="F65" s="68">
        <f t="shared" si="2"/>
        <v>741</v>
      </c>
      <c r="G65" s="49" t="s">
        <v>171</v>
      </c>
      <c r="H65" s="70">
        <v>0</v>
      </c>
      <c r="I65" s="70">
        <v>1</v>
      </c>
      <c r="J65" s="79">
        <v>1</v>
      </c>
      <c r="K65" s="79"/>
      <c r="L65" s="79"/>
      <c r="M65" s="79">
        <v>1</v>
      </c>
      <c r="N65" s="79"/>
      <c r="O65" s="79"/>
      <c r="P65" s="79"/>
      <c r="Q65" s="79"/>
      <c r="R65" s="79"/>
      <c r="S65" s="79"/>
      <c r="T65" s="79"/>
      <c r="U65" s="79"/>
      <c r="V65" s="79"/>
      <c r="W65" s="79">
        <v>0</v>
      </c>
      <c r="X65" s="79"/>
      <c r="Y65" s="79"/>
      <c r="Z65" s="79"/>
      <c r="AA65" s="79"/>
      <c r="AB65" s="79"/>
      <c r="AC65" s="79"/>
      <c r="AD65" s="79"/>
      <c r="AE65" s="79"/>
      <c r="AF65" s="79"/>
      <c r="AG65" s="79"/>
    </row>
    <row r="66" spans="1:34" x14ac:dyDescent="0.25">
      <c r="A66" s="106" t="s">
        <v>401</v>
      </c>
      <c r="B66" s="45" t="s">
        <v>208</v>
      </c>
      <c r="C66" s="22">
        <v>4176512</v>
      </c>
      <c r="D66" s="7">
        <v>44329</v>
      </c>
      <c r="E66" s="7">
        <v>45265</v>
      </c>
      <c r="F66" s="68">
        <f t="shared" si="2"/>
        <v>936</v>
      </c>
      <c r="G66" s="144" t="s">
        <v>171</v>
      </c>
      <c r="H66" s="70">
        <v>0</v>
      </c>
      <c r="I66" s="70">
        <v>1</v>
      </c>
      <c r="J66" s="71">
        <v>1</v>
      </c>
      <c r="K66" s="71"/>
      <c r="L66" s="71"/>
      <c r="M66" s="71"/>
      <c r="N66" s="71"/>
      <c r="O66" s="71"/>
      <c r="P66" s="71"/>
      <c r="Q66" s="71">
        <v>1</v>
      </c>
      <c r="R66" s="71"/>
      <c r="S66" s="71"/>
      <c r="T66" s="71"/>
      <c r="U66" s="71"/>
      <c r="V66" s="71"/>
      <c r="W66" s="71">
        <v>1</v>
      </c>
      <c r="X66" s="71"/>
      <c r="Y66" s="71"/>
      <c r="Z66" s="71">
        <v>1</v>
      </c>
      <c r="AA66" s="71"/>
      <c r="AB66" s="71">
        <v>1</v>
      </c>
      <c r="AC66" s="71">
        <v>1</v>
      </c>
      <c r="AD66" s="71"/>
      <c r="AE66" s="71" t="s">
        <v>209</v>
      </c>
      <c r="AF66" s="71"/>
      <c r="AG66" s="71"/>
    </row>
    <row r="67" spans="1:34" x14ac:dyDescent="0.25">
      <c r="A67" s="106" t="s">
        <v>402</v>
      </c>
      <c r="B67" s="21" t="s">
        <v>254</v>
      </c>
      <c r="C67" s="22">
        <v>4178252</v>
      </c>
      <c r="D67" s="84">
        <v>44330</v>
      </c>
      <c r="E67" s="84">
        <v>45180</v>
      </c>
      <c r="F67" s="68">
        <f t="shared" si="2"/>
        <v>850</v>
      </c>
      <c r="G67" s="24" t="s">
        <v>242</v>
      </c>
      <c r="H67" s="70">
        <v>0</v>
      </c>
      <c r="I67" s="70">
        <v>1</v>
      </c>
      <c r="J67" s="71">
        <v>0</v>
      </c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>
        <v>0</v>
      </c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25"/>
    </row>
    <row r="68" spans="1:34" x14ac:dyDescent="0.25">
      <c r="A68" s="119" t="s">
        <v>404</v>
      </c>
      <c r="B68" s="21" t="s">
        <v>255</v>
      </c>
      <c r="C68" s="22">
        <v>4195624</v>
      </c>
      <c r="D68" s="84">
        <v>44257</v>
      </c>
      <c r="E68" s="84">
        <v>45188</v>
      </c>
      <c r="F68" s="68">
        <f t="shared" si="2"/>
        <v>931</v>
      </c>
      <c r="G68" s="24" t="s">
        <v>242</v>
      </c>
      <c r="H68" s="70">
        <v>0</v>
      </c>
      <c r="I68" s="70">
        <v>1</v>
      </c>
      <c r="J68" s="71">
        <v>1</v>
      </c>
      <c r="K68" s="71"/>
      <c r="L68" s="71"/>
      <c r="M68" s="71">
        <v>1</v>
      </c>
      <c r="N68" s="71"/>
      <c r="O68" s="71"/>
      <c r="P68" s="71"/>
      <c r="Q68" s="71">
        <v>1</v>
      </c>
      <c r="R68" s="71"/>
      <c r="S68" s="71"/>
      <c r="T68" s="71"/>
      <c r="U68" s="71"/>
      <c r="V68" s="71"/>
      <c r="W68" s="71">
        <v>0</v>
      </c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spans="1:34" x14ac:dyDescent="0.25">
      <c r="A69" s="108" t="s">
        <v>509</v>
      </c>
      <c r="B69" s="98" t="s">
        <v>146</v>
      </c>
      <c r="C69" s="102" t="s">
        <v>147</v>
      </c>
      <c r="D69" s="115">
        <v>44419</v>
      </c>
      <c r="E69" s="115">
        <v>45034</v>
      </c>
      <c r="F69" s="116">
        <f>(E69-D69)</f>
        <v>615</v>
      </c>
      <c r="G69" s="105" t="s">
        <v>148</v>
      </c>
      <c r="H69" s="87">
        <v>1</v>
      </c>
      <c r="I69" s="87">
        <v>1</v>
      </c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 t="s">
        <v>149</v>
      </c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112"/>
    </row>
    <row r="70" spans="1:34" x14ac:dyDescent="0.25">
      <c r="A70" s="108" t="s">
        <v>476</v>
      </c>
      <c r="B70" s="96" t="s">
        <v>45</v>
      </c>
      <c r="C70" s="140">
        <v>6441005</v>
      </c>
      <c r="D70" s="7">
        <v>44403</v>
      </c>
      <c r="E70" s="120">
        <v>45497</v>
      </c>
      <c r="F70" s="111">
        <f t="shared" ref="F70:F78" si="3">E70-D70</f>
        <v>1094</v>
      </c>
      <c r="G70" s="9" t="s">
        <v>32</v>
      </c>
      <c r="H70" s="87">
        <v>1</v>
      </c>
      <c r="I70" s="87">
        <v>1</v>
      </c>
      <c r="J70" s="87">
        <v>1</v>
      </c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 t="s">
        <v>303</v>
      </c>
      <c r="W70" s="87">
        <v>0</v>
      </c>
      <c r="X70" s="87"/>
      <c r="Y70" s="87"/>
      <c r="Z70" s="87"/>
      <c r="AA70" s="87"/>
      <c r="AB70" s="87"/>
      <c r="AC70" s="87"/>
      <c r="AD70" s="87"/>
      <c r="AE70" s="87"/>
      <c r="AF70" s="87"/>
      <c r="AG70" s="87">
        <v>2</v>
      </c>
      <c r="AH70" s="96" t="s">
        <v>46</v>
      </c>
    </row>
    <row r="71" spans="1:34" x14ac:dyDescent="0.25">
      <c r="A71" s="119" t="s">
        <v>408</v>
      </c>
      <c r="B71" s="42" t="s">
        <v>199</v>
      </c>
      <c r="C71" s="43">
        <v>4333565</v>
      </c>
      <c r="D71" s="83">
        <v>44308</v>
      </c>
      <c r="E71" s="83">
        <v>45212</v>
      </c>
      <c r="F71" s="69">
        <f t="shared" si="3"/>
        <v>904</v>
      </c>
      <c r="G71" s="38" t="s">
        <v>171</v>
      </c>
      <c r="H71" s="70">
        <v>0</v>
      </c>
      <c r="I71" s="70">
        <v>1</v>
      </c>
      <c r="J71" s="73">
        <v>2</v>
      </c>
      <c r="K71" s="73"/>
      <c r="L71" s="73"/>
      <c r="M71" s="73">
        <v>2</v>
      </c>
      <c r="N71" s="73"/>
      <c r="O71" s="73"/>
      <c r="P71" s="73"/>
      <c r="Q71" s="73">
        <v>2</v>
      </c>
      <c r="R71" s="73"/>
      <c r="S71" s="73"/>
      <c r="T71" s="73"/>
      <c r="U71" s="73"/>
      <c r="V71" s="73" t="s">
        <v>200</v>
      </c>
      <c r="W71" s="73">
        <v>2</v>
      </c>
      <c r="X71" s="73"/>
      <c r="Y71" s="73"/>
      <c r="Z71" s="73"/>
      <c r="AA71" s="73"/>
      <c r="AB71" s="73">
        <v>2</v>
      </c>
      <c r="AC71" s="73">
        <v>2</v>
      </c>
      <c r="AD71" s="73">
        <v>1</v>
      </c>
      <c r="AE71" s="73" t="s">
        <v>201</v>
      </c>
      <c r="AF71" s="73"/>
      <c r="AG71" s="73"/>
      <c r="AH71" s="113"/>
    </row>
    <row r="72" spans="1:34" x14ac:dyDescent="0.25">
      <c r="A72" s="119" t="s">
        <v>412</v>
      </c>
      <c r="B72" s="44" t="s">
        <v>210</v>
      </c>
      <c r="C72" s="46">
        <v>4618189</v>
      </c>
      <c r="D72" s="7">
        <v>44336</v>
      </c>
      <c r="E72" s="7">
        <v>45265</v>
      </c>
      <c r="F72" s="68">
        <f t="shared" si="3"/>
        <v>929</v>
      </c>
      <c r="G72" s="144" t="s">
        <v>171</v>
      </c>
      <c r="H72" s="70">
        <v>0</v>
      </c>
      <c r="I72" s="70">
        <v>1</v>
      </c>
      <c r="J72" s="71">
        <v>1</v>
      </c>
      <c r="K72" s="71"/>
      <c r="L72" s="71"/>
      <c r="M72" s="71"/>
      <c r="N72" s="71"/>
      <c r="O72" s="71"/>
      <c r="P72" s="71"/>
      <c r="Q72" s="71">
        <v>1</v>
      </c>
      <c r="R72" s="71"/>
      <c r="S72" s="71"/>
      <c r="T72" s="71"/>
      <c r="U72" s="71"/>
      <c r="V72" s="71"/>
      <c r="W72" s="112">
        <v>1</v>
      </c>
      <c r="X72" s="112"/>
      <c r="Y72" s="112"/>
      <c r="Z72" s="112"/>
      <c r="AA72" s="112"/>
      <c r="AB72" s="112">
        <v>1</v>
      </c>
      <c r="AC72" s="112"/>
      <c r="AD72" s="112"/>
      <c r="AE72" s="112"/>
      <c r="AF72" s="112"/>
      <c r="AG72" s="112"/>
    </row>
    <row r="73" spans="1:34" s="112" customFormat="1" x14ac:dyDescent="0.25">
      <c r="A73" s="119" t="s">
        <v>414</v>
      </c>
      <c r="B73" s="21" t="s">
        <v>175</v>
      </c>
      <c r="C73" s="22">
        <v>4646753</v>
      </c>
      <c r="D73" s="7">
        <v>44179</v>
      </c>
      <c r="E73" s="7">
        <v>45121</v>
      </c>
      <c r="F73" s="68">
        <f t="shared" si="3"/>
        <v>942</v>
      </c>
      <c r="G73" s="24" t="s">
        <v>171</v>
      </c>
      <c r="H73" s="70">
        <v>0</v>
      </c>
      <c r="I73" s="70">
        <v>1</v>
      </c>
      <c r="J73" s="71">
        <v>2</v>
      </c>
      <c r="K73" s="71">
        <v>2</v>
      </c>
      <c r="L73" s="71">
        <v>2</v>
      </c>
      <c r="M73" s="71">
        <v>2</v>
      </c>
      <c r="N73" s="71">
        <v>1</v>
      </c>
      <c r="O73" s="71"/>
      <c r="P73" s="71"/>
      <c r="Q73" s="71">
        <v>2</v>
      </c>
      <c r="R73" s="71"/>
      <c r="S73" s="71"/>
      <c r="T73" s="71"/>
      <c r="U73" s="71"/>
      <c r="V73" s="71" t="s">
        <v>176</v>
      </c>
      <c r="W73" s="71">
        <v>0</v>
      </c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96"/>
    </row>
    <row r="74" spans="1:34" s="112" customFormat="1" x14ac:dyDescent="0.25">
      <c r="A74" s="119" t="s">
        <v>415</v>
      </c>
      <c r="B74" s="33" t="s">
        <v>217</v>
      </c>
      <c r="C74" s="35">
        <v>4651408</v>
      </c>
      <c r="D74" s="7">
        <v>44405</v>
      </c>
      <c r="E74" s="7">
        <v>45143</v>
      </c>
      <c r="F74" s="68">
        <f t="shared" si="3"/>
        <v>738</v>
      </c>
      <c r="G74" s="35" t="s">
        <v>171</v>
      </c>
      <c r="H74" s="70">
        <v>0</v>
      </c>
      <c r="I74" s="70">
        <v>1</v>
      </c>
      <c r="J74" s="71">
        <v>0</v>
      </c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9">
        <v>0</v>
      </c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96"/>
    </row>
    <row r="75" spans="1:34" s="112" customFormat="1" x14ac:dyDescent="0.25">
      <c r="A75" s="119" t="s">
        <v>416</v>
      </c>
      <c r="B75" s="47" t="s">
        <v>277</v>
      </c>
      <c r="C75" s="65">
        <v>4689605</v>
      </c>
      <c r="D75" s="84">
        <v>44362</v>
      </c>
      <c r="E75" s="84">
        <v>45140</v>
      </c>
      <c r="F75" s="68">
        <f t="shared" si="3"/>
        <v>778</v>
      </c>
      <c r="G75" s="49" t="s">
        <v>242</v>
      </c>
      <c r="H75" s="70">
        <v>0</v>
      </c>
      <c r="I75" s="70">
        <v>1</v>
      </c>
      <c r="J75" s="79">
        <v>0</v>
      </c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 t="s">
        <v>278</v>
      </c>
      <c r="W75" s="79">
        <v>0</v>
      </c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96"/>
    </row>
    <row r="76" spans="1:34" s="112" customFormat="1" x14ac:dyDescent="0.25">
      <c r="A76" s="118" t="s">
        <v>481</v>
      </c>
      <c r="B76" s="91" t="s">
        <v>47</v>
      </c>
      <c r="C76" s="93">
        <v>6499494</v>
      </c>
      <c r="D76" s="7">
        <v>44370</v>
      </c>
      <c r="E76" s="110">
        <v>44676</v>
      </c>
      <c r="F76" s="111">
        <f t="shared" si="3"/>
        <v>306</v>
      </c>
      <c r="G76" s="9" t="s">
        <v>32</v>
      </c>
      <c r="H76" s="87">
        <v>1</v>
      </c>
      <c r="I76" s="87">
        <v>1</v>
      </c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 t="s">
        <v>304</v>
      </c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96"/>
    </row>
    <row r="77" spans="1:34" s="112" customFormat="1" x14ac:dyDescent="0.25">
      <c r="A77" s="106" t="s">
        <v>420</v>
      </c>
      <c r="B77" s="50" t="s">
        <v>227</v>
      </c>
      <c r="C77" s="51">
        <v>4839122</v>
      </c>
      <c r="D77" s="7">
        <v>44473</v>
      </c>
      <c r="E77" s="7">
        <v>45230</v>
      </c>
      <c r="F77" s="68">
        <f t="shared" si="3"/>
        <v>757</v>
      </c>
      <c r="G77" s="49" t="s">
        <v>171</v>
      </c>
      <c r="H77" s="70">
        <v>0</v>
      </c>
      <c r="I77" s="70">
        <v>1</v>
      </c>
      <c r="J77" s="79">
        <v>1</v>
      </c>
      <c r="K77" s="79"/>
      <c r="L77" s="79"/>
      <c r="M77" s="79"/>
      <c r="N77" s="79"/>
      <c r="O77" s="79"/>
      <c r="P77" s="79"/>
      <c r="Q77" s="79">
        <v>1</v>
      </c>
      <c r="R77" s="79">
        <v>1</v>
      </c>
      <c r="S77" s="79"/>
      <c r="T77" s="79"/>
      <c r="U77" s="79"/>
      <c r="V77" s="79"/>
      <c r="W77" s="79">
        <v>0</v>
      </c>
      <c r="X77" s="71"/>
      <c r="Y77" s="79"/>
      <c r="Z77" s="79"/>
      <c r="AA77" s="79"/>
      <c r="AB77" s="79"/>
      <c r="AC77" s="79"/>
      <c r="AD77" s="79"/>
      <c r="AE77" s="79"/>
      <c r="AF77" s="79"/>
      <c r="AG77" s="79"/>
      <c r="AH77" s="96"/>
    </row>
    <row r="78" spans="1:34" s="112" customFormat="1" x14ac:dyDescent="0.25">
      <c r="A78" s="109" t="s">
        <v>424</v>
      </c>
      <c r="B78" s="41" t="s">
        <v>198</v>
      </c>
      <c r="C78" s="34">
        <v>4894117</v>
      </c>
      <c r="D78" s="7">
        <v>44326</v>
      </c>
      <c r="E78" s="7">
        <v>45252</v>
      </c>
      <c r="F78" s="68">
        <f t="shared" si="3"/>
        <v>926</v>
      </c>
      <c r="G78" s="41" t="s">
        <v>171</v>
      </c>
      <c r="H78" s="70">
        <v>0</v>
      </c>
      <c r="I78" s="70">
        <v>1</v>
      </c>
      <c r="J78" s="76">
        <v>1</v>
      </c>
      <c r="K78" s="77"/>
      <c r="L78" s="77"/>
      <c r="M78" s="77"/>
      <c r="N78" s="77"/>
      <c r="O78" s="77"/>
      <c r="P78" s="77"/>
      <c r="Q78" s="77">
        <v>1</v>
      </c>
      <c r="R78" s="77"/>
      <c r="S78" s="77"/>
      <c r="T78" s="76"/>
      <c r="U78" s="77"/>
      <c r="V78" s="77"/>
      <c r="W78" s="77">
        <v>0</v>
      </c>
      <c r="X78" s="71"/>
      <c r="Y78" s="76"/>
      <c r="Z78" s="77"/>
      <c r="AA78" s="77"/>
      <c r="AB78" s="77"/>
      <c r="AC78" s="76"/>
      <c r="AD78" s="76"/>
      <c r="AE78" s="77"/>
      <c r="AF78" s="77"/>
      <c r="AG78" s="77"/>
      <c r="AH78" s="96"/>
    </row>
    <row r="79" spans="1:34" s="112" customFormat="1" x14ac:dyDescent="0.25">
      <c r="A79" s="121" t="s">
        <v>507</v>
      </c>
      <c r="B79" s="90" t="s">
        <v>150</v>
      </c>
      <c r="C79" s="92" t="s">
        <v>151</v>
      </c>
      <c r="D79" s="115">
        <v>44363</v>
      </c>
      <c r="E79" s="115">
        <v>44895</v>
      </c>
      <c r="F79" s="116">
        <f>(E79-D79)</f>
        <v>532</v>
      </c>
      <c r="G79" s="105" t="s">
        <v>148</v>
      </c>
      <c r="H79" s="75">
        <v>1</v>
      </c>
      <c r="I79" s="75">
        <v>0</v>
      </c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 t="s">
        <v>152</v>
      </c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</row>
    <row r="80" spans="1:34" s="112" customFormat="1" x14ac:dyDescent="0.25">
      <c r="A80" s="106" t="s">
        <v>425</v>
      </c>
      <c r="B80" s="21" t="s">
        <v>250</v>
      </c>
      <c r="C80" s="22">
        <v>5027608</v>
      </c>
      <c r="D80" s="84">
        <v>44172</v>
      </c>
      <c r="E80" s="84">
        <v>45098</v>
      </c>
      <c r="F80" s="68">
        <f>E80-D80</f>
        <v>926</v>
      </c>
      <c r="G80" s="24" t="s">
        <v>242</v>
      </c>
      <c r="H80" s="70">
        <v>0</v>
      </c>
      <c r="I80" s="70">
        <v>1</v>
      </c>
      <c r="J80" s="71">
        <v>1</v>
      </c>
      <c r="K80" s="71"/>
      <c r="L80" s="71"/>
      <c r="M80" s="71">
        <v>1</v>
      </c>
      <c r="N80" s="71"/>
      <c r="O80" s="71"/>
      <c r="P80" s="71"/>
      <c r="Q80" s="71"/>
      <c r="R80" s="71"/>
      <c r="S80" s="71"/>
      <c r="T80" s="71"/>
      <c r="U80" s="71"/>
      <c r="V80" s="71"/>
      <c r="W80" s="71">
        <v>0</v>
      </c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96"/>
    </row>
    <row r="81" spans="1:34" s="112" customFormat="1" x14ac:dyDescent="0.25">
      <c r="A81" s="108" t="s">
        <v>484</v>
      </c>
      <c r="B81" s="97" t="s">
        <v>48</v>
      </c>
      <c r="C81" s="141">
        <v>6517497</v>
      </c>
      <c r="D81" s="7">
        <v>44391</v>
      </c>
      <c r="E81" s="110">
        <v>45490</v>
      </c>
      <c r="F81" s="111">
        <f>E81-D81</f>
        <v>1099</v>
      </c>
      <c r="G81" s="9" t="s">
        <v>49</v>
      </c>
      <c r="H81" s="112">
        <v>0</v>
      </c>
      <c r="I81" s="112">
        <v>1</v>
      </c>
      <c r="J81" s="112">
        <v>1</v>
      </c>
      <c r="M81" s="112">
        <v>1</v>
      </c>
      <c r="N81" s="112">
        <v>1</v>
      </c>
      <c r="R81" s="112">
        <v>0</v>
      </c>
      <c r="W81" s="112">
        <v>1</v>
      </c>
      <c r="AB81" s="112">
        <v>1</v>
      </c>
      <c r="AG81" s="112">
        <v>1</v>
      </c>
      <c r="AH81" s="96" t="s">
        <v>50</v>
      </c>
    </row>
    <row r="82" spans="1:34" s="112" customFormat="1" x14ac:dyDescent="0.25">
      <c r="A82" s="106" t="s">
        <v>393</v>
      </c>
      <c r="B82" s="21" t="s">
        <v>257</v>
      </c>
      <c r="C82" s="22">
        <v>3693077</v>
      </c>
      <c r="D82" s="84">
        <v>44244</v>
      </c>
      <c r="E82" s="84">
        <v>45006</v>
      </c>
      <c r="F82" s="68">
        <f>E82-D82</f>
        <v>762</v>
      </c>
      <c r="G82" s="24" t="s">
        <v>242</v>
      </c>
      <c r="H82" s="70">
        <v>0</v>
      </c>
      <c r="I82" s="70">
        <v>1</v>
      </c>
      <c r="J82" s="71">
        <v>0</v>
      </c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>
        <v>0</v>
      </c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96"/>
    </row>
    <row r="83" spans="1:34" s="112" customFormat="1" x14ac:dyDescent="0.25">
      <c r="A83" s="106" t="s">
        <v>393</v>
      </c>
      <c r="B83" s="122" t="s">
        <v>153</v>
      </c>
      <c r="C83" s="105">
        <v>3695498</v>
      </c>
      <c r="D83" s="115">
        <v>44413</v>
      </c>
      <c r="E83" s="115">
        <v>45357</v>
      </c>
      <c r="F83" s="116">
        <f>(E83-D83)</f>
        <v>944</v>
      </c>
      <c r="G83" s="105" t="s">
        <v>148</v>
      </c>
      <c r="H83" s="112">
        <v>0</v>
      </c>
      <c r="I83" s="112">
        <v>1</v>
      </c>
      <c r="J83" s="112">
        <v>0</v>
      </c>
      <c r="W83" s="112">
        <v>0</v>
      </c>
    </row>
    <row r="84" spans="1:34" s="112" customFormat="1" x14ac:dyDescent="0.25">
      <c r="A84" s="119" t="s">
        <v>426</v>
      </c>
      <c r="B84" s="21" t="s">
        <v>261</v>
      </c>
      <c r="C84" s="22">
        <v>5030650</v>
      </c>
      <c r="D84" s="84">
        <v>44257</v>
      </c>
      <c r="E84" s="84">
        <v>45266</v>
      </c>
      <c r="F84" s="68">
        <f>E84-D84</f>
        <v>1009</v>
      </c>
      <c r="G84" s="24" t="s">
        <v>242</v>
      </c>
      <c r="H84" s="70">
        <v>0</v>
      </c>
      <c r="I84" s="70">
        <v>1</v>
      </c>
      <c r="J84" s="71">
        <v>0</v>
      </c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>
        <v>0</v>
      </c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96"/>
    </row>
    <row r="85" spans="1:34" s="112" customFormat="1" x14ac:dyDescent="0.25">
      <c r="A85" s="119" t="s">
        <v>427</v>
      </c>
      <c r="B85" s="21" t="s">
        <v>182</v>
      </c>
      <c r="C85" s="22">
        <v>5059887</v>
      </c>
      <c r="D85" s="7">
        <v>44179</v>
      </c>
      <c r="E85" s="7">
        <v>45049</v>
      </c>
      <c r="F85" s="68">
        <f>E85-D85</f>
        <v>870</v>
      </c>
      <c r="G85" s="24" t="s">
        <v>171</v>
      </c>
      <c r="H85" s="70">
        <v>0</v>
      </c>
      <c r="I85" s="70">
        <v>1</v>
      </c>
      <c r="J85" s="71">
        <v>2</v>
      </c>
      <c r="K85" s="71"/>
      <c r="L85" s="71"/>
      <c r="M85" s="71">
        <v>2</v>
      </c>
      <c r="N85" s="71"/>
      <c r="O85" s="71"/>
      <c r="P85" s="71"/>
      <c r="Q85" s="71">
        <v>2</v>
      </c>
      <c r="R85" s="71"/>
      <c r="S85" s="71"/>
      <c r="T85" s="71"/>
      <c r="U85" s="71"/>
      <c r="V85" s="71" t="s">
        <v>183</v>
      </c>
      <c r="W85" s="71">
        <v>0</v>
      </c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96"/>
    </row>
    <row r="86" spans="1:34" s="112" customFormat="1" x14ac:dyDescent="0.25">
      <c r="A86" s="119" t="s">
        <v>510</v>
      </c>
      <c r="B86" s="90" t="s">
        <v>154</v>
      </c>
      <c r="C86" s="92" t="s">
        <v>155</v>
      </c>
      <c r="D86" s="115">
        <v>44441</v>
      </c>
      <c r="E86" s="115">
        <v>45392</v>
      </c>
      <c r="F86" s="116">
        <f>(E86-D86)</f>
        <v>951</v>
      </c>
      <c r="G86" s="105" t="s">
        <v>148</v>
      </c>
      <c r="H86" s="112">
        <v>0</v>
      </c>
      <c r="I86" s="112">
        <v>1</v>
      </c>
      <c r="J86" s="112">
        <v>1</v>
      </c>
      <c r="M86" s="112">
        <v>1</v>
      </c>
      <c r="O86" s="112">
        <v>1</v>
      </c>
      <c r="Q86" s="112">
        <v>1</v>
      </c>
      <c r="S86" s="112">
        <v>1</v>
      </c>
      <c r="W86" s="112">
        <v>0</v>
      </c>
      <c r="AF86" s="112">
        <v>1</v>
      </c>
      <c r="AG86" s="112">
        <v>2</v>
      </c>
    </row>
    <row r="87" spans="1:34" s="112" customFormat="1" x14ac:dyDescent="0.25">
      <c r="A87" s="119" t="s">
        <v>511</v>
      </c>
      <c r="B87" s="90" t="s">
        <v>156</v>
      </c>
      <c r="C87" s="92" t="s">
        <v>157</v>
      </c>
      <c r="D87" s="115">
        <v>44459</v>
      </c>
      <c r="E87" s="115">
        <v>45399</v>
      </c>
      <c r="F87" s="116">
        <f>(E87-D87)</f>
        <v>940</v>
      </c>
      <c r="G87" s="105" t="s">
        <v>148</v>
      </c>
      <c r="H87" s="112">
        <v>0</v>
      </c>
      <c r="I87" s="112">
        <v>1</v>
      </c>
      <c r="J87" s="112">
        <v>0</v>
      </c>
      <c r="W87" s="112">
        <v>0</v>
      </c>
    </row>
    <row r="88" spans="1:34" x14ac:dyDescent="0.25">
      <c r="A88" s="119" t="s">
        <v>435</v>
      </c>
      <c r="B88" s="59" t="s">
        <v>268</v>
      </c>
      <c r="C88" s="60">
        <v>5338778</v>
      </c>
      <c r="D88" s="84">
        <v>44285</v>
      </c>
      <c r="E88" s="84">
        <v>45205</v>
      </c>
      <c r="F88" s="68">
        <f t="shared" ref="F88:F130" si="4">E88-D88</f>
        <v>920</v>
      </c>
      <c r="G88" s="35" t="s">
        <v>242</v>
      </c>
      <c r="H88" s="70">
        <v>0</v>
      </c>
      <c r="I88" s="70">
        <v>1</v>
      </c>
      <c r="J88" s="71">
        <v>0</v>
      </c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>
        <v>0</v>
      </c>
      <c r="X88" s="71"/>
      <c r="Y88" s="71"/>
      <c r="Z88" s="71"/>
      <c r="AA88" s="71"/>
      <c r="AB88" s="71"/>
      <c r="AC88" s="71"/>
      <c r="AD88" s="71"/>
      <c r="AE88" s="71"/>
      <c r="AF88" s="71"/>
      <c r="AG88" s="71"/>
    </row>
    <row r="89" spans="1:34" x14ac:dyDescent="0.25">
      <c r="A89" s="119" t="s">
        <v>439</v>
      </c>
      <c r="B89" s="21" t="s">
        <v>178</v>
      </c>
      <c r="C89" s="22">
        <v>5400722</v>
      </c>
      <c r="D89" s="7">
        <v>44168</v>
      </c>
      <c r="E89" s="7">
        <v>45132</v>
      </c>
      <c r="F89" s="68">
        <f t="shared" si="4"/>
        <v>964</v>
      </c>
      <c r="G89" s="24" t="s">
        <v>171</v>
      </c>
      <c r="H89" s="70">
        <v>0</v>
      </c>
      <c r="I89" s="70">
        <v>1</v>
      </c>
      <c r="J89" s="71">
        <v>2</v>
      </c>
      <c r="K89" s="71"/>
      <c r="L89" s="71"/>
      <c r="M89" s="71">
        <v>1</v>
      </c>
      <c r="N89" s="71"/>
      <c r="O89" s="71"/>
      <c r="P89" s="71"/>
      <c r="Q89" s="71"/>
      <c r="R89" s="71"/>
      <c r="S89" s="71"/>
      <c r="T89" s="71"/>
      <c r="U89" s="71"/>
      <c r="V89" s="71" t="s">
        <v>179</v>
      </c>
      <c r="W89" s="71">
        <v>0</v>
      </c>
      <c r="X89" s="71"/>
      <c r="Y89" s="71"/>
      <c r="Z89" s="71"/>
      <c r="AA89" s="71"/>
      <c r="AB89" s="71"/>
      <c r="AC89" s="71"/>
      <c r="AD89" s="71"/>
      <c r="AE89" s="71"/>
      <c r="AF89" s="71"/>
      <c r="AG89" s="71"/>
    </row>
    <row r="90" spans="1:34" x14ac:dyDescent="0.25">
      <c r="A90" s="119" t="s">
        <v>428</v>
      </c>
      <c r="B90" s="44" t="s">
        <v>228</v>
      </c>
      <c r="C90" s="46">
        <v>5119987</v>
      </c>
      <c r="D90" s="7">
        <v>44467</v>
      </c>
      <c r="E90" s="7">
        <v>45258</v>
      </c>
      <c r="F90" s="68">
        <f t="shared" si="4"/>
        <v>791</v>
      </c>
      <c r="G90" s="24" t="s">
        <v>171</v>
      </c>
      <c r="H90" s="70">
        <v>0</v>
      </c>
      <c r="I90" s="70">
        <v>1</v>
      </c>
      <c r="J90" s="78">
        <v>1</v>
      </c>
      <c r="K90" s="78"/>
      <c r="L90" s="78"/>
      <c r="M90" s="78"/>
      <c r="N90" s="78"/>
      <c r="O90" s="78"/>
      <c r="P90" s="78"/>
      <c r="Q90" s="78">
        <v>1</v>
      </c>
      <c r="R90" s="78"/>
      <c r="S90" s="78"/>
      <c r="T90" s="78"/>
      <c r="U90" s="78"/>
      <c r="V90" s="78"/>
      <c r="W90" s="78">
        <v>0</v>
      </c>
      <c r="X90" s="78"/>
      <c r="Y90" s="78"/>
      <c r="Z90" s="78"/>
      <c r="AA90" s="78"/>
      <c r="AB90" s="78"/>
      <c r="AC90" s="78"/>
      <c r="AD90" s="78"/>
      <c r="AE90" s="78"/>
      <c r="AF90" s="78"/>
      <c r="AG90" s="78"/>
    </row>
    <row r="91" spans="1:34" x14ac:dyDescent="0.25">
      <c r="A91" s="119" t="s">
        <v>433</v>
      </c>
      <c r="B91" s="44" t="s">
        <v>281</v>
      </c>
      <c r="C91" s="46">
        <v>5322599</v>
      </c>
      <c r="D91" s="84">
        <v>44393</v>
      </c>
      <c r="E91" s="84">
        <v>45141</v>
      </c>
      <c r="F91" s="68">
        <f t="shared" si="4"/>
        <v>748</v>
      </c>
      <c r="G91" s="24" t="s">
        <v>242</v>
      </c>
      <c r="H91" s="70">
        <v>0</v>
      </c>
      <c r="I91" s="70">
        <v>1</v>
      </c>
      <c r="J91" s="78">
        <v>1</v>
      </c>
      <c r="K91" s="78"/>
      <c r="L91" s="78"/>
      <c r="M91" s="78"/>
      <c r="N91" s="78"/>
      <c r="O91" s="78"/>
      <c r="P91" s="78"/>
      <c r="Q91" s="78">
        <v>1</v>
      </c>
      <c r="R91" s="78"/>
      <c r="S91" s="78"/>
      <c r="T91" s="78"/>
      <c r="U91" s="78"/>
      <c r="V91" s="78"/>
      <c r="W91" s="78">
        <v>0</v>
      </c>
      <c r="X91" s="78"/>
      <c r="Y91" s="78"/>
      <c r="Z91" s="78"/>
      <c r="AA91" s="78"/>
      <c r="AB91" s="78"/>
      <c r="AC91" s="78"/>
      <c r="AD91" s="78"/>
      <c r="AE91" s="78"/>
      <c r="AF91" s="78"/>
      <c r="AG91" s="78"/>
    </row>
    <row r="92" spans="1:34" x14ac:dyDescent="0.25">
      <c r="A92" s="119" t="s">
        <v>440</v>
      </c>
      <c r="B92" s="33" t="s">
        <v>192</v>
      </c>
      <c r="C92" s="34">
        <v>5425370</v>
      </c>
      <c r="D92" s="7">
        <v>44278</v>
      </c>
      <c r="E92" s="7">
        <v>45069</v>
      </c>
      <c r="F92" s="68">
        <f t="shared" si="4"/>
        <v>791</v>
      </c>
      <c r="G92" s="35" t="s">
        <v>171</v>
      </c>
      <c r="H92" s="70">
        <v>0</v>
      </c>
      <c r="I92" s="70">
        <v>1</v>
      </c>
      <c r="J92" s="71">
        <v>2</v>
      </c>
      <c r="K92" s="71"/>
      <c r="L92" s="71"/>
      <c r="M92" s="71"/>
      <c r="N92" s="71"/>
      <c r="O92" s="71">
        <v>2</v>
      </c>
      <c r="P92" s="71"/>
      <c r="Q92" s="71">
        <v>2</v>
      </c>
      <c r="R92" s="71"/>
      <c r="S92" s="71"/>
      <c r="T92" s="71"/>
      <c r="U92" s="71"/>
      <c r="V92" s="71" t="s">
        <v>193</v>
      </c>
      <c r="W92" s="71">
        <v>0</v>
      </c>
      <c r="X92" s="71"/>
      <c r="Y92" s="71"/>
      <c r="Z92" s="71"/>
      <c r="AA92" s="71"/>
      <c r="AB92" s="71"/>
      <c r="AC92" s="71"/>
      <c r="AD92" s="71"/>
      <c r="AE92" s="71"/>
      <c r="AF92" s="71"/>
      <c r="AG92" s="71"/>
    </row>
    <row r="93" spans="1:34" x14ac:dyDescent="0.25">
      <c r="A93" s="119" t="s">
        <v>441</v>
      </c>
      <c r="B93" s="50" t="s">
        <v>226</v>
      </c>
      <c r="C93" s="51">
        <v>5431737</v>
      </c>
      <c r="D93" s="7">
        <v>44419</v>
      </c>
      <c r="E93" s="7">
        <v>45174</v>
      </c>
      <c r="F93" s="68">
        <f t="shared" si="4"/>
        <v>755</v>
      </c>
      <c r="G93" s="49" t="s">
        <v>171</v>
      </c>
      <c r="H93" s="70">
        <v>0</v>
      </c>
      <c r="I93" s="70">
        <v>1</v>
      </c>
      <c r="J93" s="79">
        <v>0</v>
      </c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>
        <v>0</v>
      </c>
      <c r="X93" s="79"/>
      <c r="Y93" s="79"/>
      <c r="Z93" s="79"/>
      <c r="AA93" s="79"/>
      <c r="AB93" s="79"/>
      <c r="AC93" s="79"/>
      <c r="AD93" s="79"/>
      <c r="AE93" s="79"/>
      <c r="AF93" s="79"/>
      <c r="AG93" s="79"/>
    </row>
    <row r="94" spans="1:34" x14ac:dyDescent="0.25">
      <c r="A94" s="119" t="s">
        <v>442</v>
      </c>
      <c r="B94" s="21" t="s">
        <v>187</v>
      </c>
      <c r="C94" s="22">
        <v>5441069</v>
      </c>
      <c r="D94" s="7">
        <v>44235</v>
      </c>
      <c r="E94" s="7">
        <v>45147</v>
      </c>
      <c r="F94" s="68">
        <f t="shared" si="4"/>
        <v>912</v>
      </c>
      <c r="G94" s="24" t="s">
        <v>171</v>
      </c>
      <c r="H94" s="70">
        <v>0</v>
      </c>
      <c r="I94" s="70">
        <v>1</v>
      </c>
      <c r="J94" s="71">
        <v>0</v>
      </c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>
        <v>0</v>
      </c>
      <c r="X94" s="71"/>
      <c r="Y94" s="71"/>
      <c r="Z94" s="71"/>
      <c r="AA94" s="71"/>
      <c r="AB94" s="71"/>
      <c r="AC94" s="71"/>
      <c r="AD94" s="71"/>
      <c r="AE94" s="71"/>
      <c r="AF94" s="71"/>
      <c r="AG94" s="71"/>
    </row>
    <row r="95" spans="1:34" s="25" customFormat="1" x14ac:dyDescent="0.25">
      <c r="A95" s="119" t="s">
        <v>444</v>
      </c>
      <c r="B95" s="21" t="s">
        <v>245</v>
      </c>
      <c r="C95" s="22">
        <v>5522060</v>
      </c>
      <c r="D95" s="84">
        <v>44250</v>
      </c>
      <c r="E95" s="84">
        <v>45154</v>
      </c>
      <c r="F95" s="68">
        <f t="shared" si="4"/>
        <v>904</v>
      </c>
      <c r="G95" s="24" t="s">
        <v>242</v>
      </c>
      <c r="H95" s="70">
        <v>0</v>
      </c>
      <c r="I95" s="70">
        <v>1</v>
      </c>
      <c r="J95" s="70">
        <v>2</v>
      </c>
      <c r="K95" s="71"/>
      <c r="L95" s="71"/>
      <c r="M95" s="71">
        <v>2</v>
      </c>
      <c r="N95" s="71"/>
      <c r="O95" s="71"/>
      <c r="P95" s="71"/>
      <c r="Q95" s="71">
        <v>1</v>
      </c>
      <c r="R95" s="71"/>
      <c r="S95" s="71"/>
      <c r="T95" s="71"/>
      <c r="U95" s="71"/>
      <c r="V95" s="71" t="s">
        <v>246</v>
      </c>
      <c r="W95" s="71">
        <v>0</v>
      </c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96"/>
    </row>
    <row r="96" spans="1:34" s="25" customFormat="1" x14ac:dyDescent="0.25">
      <c r="A96" s="119" t="s">
        <v>445</v>
      </c>
      <c r="B96" s="21" t="s">
        <v>259</v>
      </c>
      <c r="C96" s="22">
        <v>5532430</v>
      </c>
      <c r="D96" s="84">
        <v>44258</v>
      </c>
      <c r="E96" s="84">
        <v>45203</v>
      </c>
      <c r="F96" s="68">
        <f t="shared" si="4"/>
        <v>945</v>
      </c>
      <c r="G96" s="24" t="s">
        <v>242</v>
      </c>
      <c r="H96" s="70">
        <v>0</v>
      </c>
      <c r="I96" s="70">
        <v>1</v>
      </c>
      <c r="J96" s="71">
        <v>1</v>
      </c>
      <c r="K96" s="72"/>
      <c r="L96" s="71"/>
      <c r="M96" s="71"/>
      <c r="N96" s="71"/>
      <c r="O96" s="71"/>
      <c r="P96" s="71"/>
      <c r="Q96" s="71">
        <v>1</v>
      </c>
      <c r="R96" s="71"/>
      <c r="S96" s="71"/>
      <c r="T96" s="71"/>
      <c r="U96" s="71"/>
      <c r="V96" s="71"/>
      <c r="W96" s="71">
        <v>0</v>
      </c>
      <c r="X96" s="71"/>
      <c r="Y96" s="71"/>
      <c r="Z96" s="71">
        <v>0</v>
      </c>
      <c r="AA96" s="71"/>
      <c r="AB96" s="71"/>
      <c r="AC96" s="71"/>
      <c r="AD96" s="71"/>
      <c r="AE96" s="71"/>
      <c r="AF96" s="71"/>
      <c r="AG96" s="71"/>
      <c r="AH96" s="96"/>
    </row>
    <row r="97" spans="1:34" x14ac:dyDescent="0.25">
      <c r="A97" s="119" t="s">
        <v>447</v>
      </c>
      <c r="B97" s="47" t="s">
        <v>295</v>
      </c>
      <c r="C97" s="48">
        <v>5615152</v>
      </c>
      <c r="D97" s="84">
        <v>44428</v>
      </c>
      <c r="E97" s="84">
        <v>45141</v>
      </c>
      <c r="F97" s="68">
        <f t="shared" si="4"/>
        <v>713</v>
      </c>
      <c r="G97" s="49" t="s">
        <v>242</v>
      </c>
      <c r="H97" s="80">
        <v>0</v>
      </c>
      <c r="I97" s="70">
        <v>1</v>
      </c>
      <c r="J97" s="79">
        <v>1</v>
      </c>
      <c r="K97" s="79"/>
      <c r="L97" s="79"/>
      <c r="M97" s="79">
        <v>1</v>
      </c>
      <c r="N97" s="79"/>
      <c r="O97" s="79">
        <v>1</v>
      </c>
      <c r="P97" s="79"/>
      <c r="Q97" s="79"/>
      <c r="R97" s="79"/>
      <c r="S97" s="79"/>
      <c r="T97" s="79"/>
      <c r="U97" s="79"/>
      <c r="V97" s="79"/>
      <c r="W97" s="79">
        <v>0</v>
      </c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25"/>
    </row>
    <row r="98" spans="1:34" x14ac:dyDescent="0.25">
      <c r="A98" s="119" t="s">
        <v>448</v>
      </c>
      <c r="B98" s="23" t="s">
        <v>272</v>
      </c>
      <c r="C98" s="22">
        <v>5836728</v>
      </c>
      <c r="D98" s="84">
        <v>44315</v>
      </c>
      <c r="E98" s="84">
        <v>45235</v>
      </c>
      <c r="F98" s="68">
        <f t="shared" si="4"/>
        <v>920</v>
      </c>
      <c r="G98" s="41" t="s">
        <v>242</v>
      </c>
      <c r="H98" s="70">
        <v>0</v>
      </c>
      <c r="I98" s="70">
        <v>1</v>
      </c>
      <c r="J98" s="68">
        <v>0</v>
      </c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>
        <v>0</v>
      </c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4" x14ac:dyDescent="0.25">
      <c r="A99" s="119" t="s">
        <v>449</v>
      </c>
      <c r="B99" s="50" t="s">
        <v>289</v>
      </c>
      <c r="C99" s="66">
        <v>5868912</v>
      </c>
      <c r="D99" s="84">
        <v>44441</v>
      </c>
      <c r="E99" s="84">
        <v>45198</v>
      </c>
      <c r="F99" s="68">
        <f t="shared" si="4"/>
        <v>757</v>
      </c>
      <c r="G99" s="49" t="s">
        <v>242</v>
      </c>
      <c r="H99" s="70">
        <v>0</v>
      </c>
      <c r="I99" s="70">
        <v>1</v>
      </c>
      <c r="J99" s="79">
        <v>0</v>
      </c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>
        <v>0</v>
      </c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25"/>
    </row>
    <row r="100" spans="1:34" x14ac:dyDescent="0.25">
      <c r="A100" s="119" t="s">
        <v>453</v>
      </c>
      <c r="B100" s="50" t="s">
        <v>218</v>
      </c>
      <c r="C100" s="51">
        <v>5901224</v>
      </c>
      <c r="D100" s="7">
        <v>44375</v>
      </c>
      <c r="E100" s="7">
        <v>45192</v>
      </c>
      <c r="F100" s="68">
        <f t="shared" si="4"/>
        <v>817</v>
      </c>
      <c r="G100" s="49" t="s">
        <v>171</v>
      </c>
      <c r="H100" s="70">
        <v>0</v>
      </c>
      <c r="I100" s="70">
        <v>1</v>
      </c>
      <c r="J100" s="79">
        <v>2</v>
      </c>
      <c r="K100" s="79"/>
      <c r="L100" s="79"/>
      <c r="M100" s="79">
        <v>2</v>
      </c>
      <c r="N100" s="79">
        <v>1</v>
      </c>
      <c r="O100" s="79"/>
      <c r="P100" s="79"/>
      <c r="Q100" s="79">
        <v>1</v>
      </c>
      <c r="R100" s="79"/>
      <c r="S100" s="79"/>
      <c r="T100" s="79"/>
      <c r="U100" s="79"/>
      <c r="V100" s="79"/>
      <c r="W100" s="79">
        <v>0</v>
      </c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</row>
    <row r="101" spans="1:34" x14ac:dyDescent="0.25">
      <c r="A101" s="119" t="s">
        <v>455</v>
      </c>
      <c r="B101" s="50" t="s">
        <v>233</v>
      </c>
      <c r="C101" s="54">
        <v>6124037</v>
      </c>
      <c r="D101" s="7">
        <v>44438</v>
      </c>
      <c r="E101" s="7">
        <v>45265</v>
      </c>
      <c r="F101" s="68">
        <f t="shared" si="4"/>
        <v>827</v>
      </c>
      <c r="G101" s="49" t="s">
        <v>171</v>
      </c>
      <c r="H101" s="70">
        <v>0</v>
      </c>
      <c r="I101" s="70">
        <v>1</v>
      </c>
      <c r="J101" s="79">
        <v>2</v>
      </c>
      <c r="K101" s="79">
        <v>2</v>
      </c>
      <c r="L101" s="79">
        <v>2</v>
      </c>
      <c r="M101" s="79"/>
      <c r="N101" s="79">
        <v>2</v>
      </c>
      <c r="O101" s="79"/>
      <c r="P101" s="79"/>
      <c r="Q101" s="79"/>
      <c r="R101" s="79">
        <v>2</v>
      </c>
      <c r="S101" s="79"/>
      <c r="T101" s="79"/>
      <c r="U101" s="79"/>
      <c r="V101" s="79" t="s">
        <v>234</v>
      </c>
      <c r="W101" s="79">
        <v>0</v>
      </c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</row>
    <row r="102" spans="1:34" s="113" customFormat="1" ht="14.25" customHeight="1" x14ac:dyDescent="0.25">
      <c r="A102" s="119" t="s">
        <v>456</v>
      </c>
      <c r="B102" s="61" t="s">
        <v>269</v>
      </c>
      <c r="C102" s="40">
        <v>6150830</v>
      </c>
      <c r="D102" s="84">
        <v>44293</v>
      </c>
      <c r="E102" s="84">
        <v>45203</v>
      </c>
      <c r="F102" s="68">
        <f t="shared" si="4"/>
        <v>910</v>
      </c>
      <c r="G102" s="41" t="s">
        <v>242</v>
      </c>
      <c r="H102" s="70">
        <v>0</v>
      </c>
      <c r="I102" s="70">
        <v>1</v>
      </c>
      <c r="J102" s="76">
        <v>2</v>
      </c>
      <c r="K102" s="68"/>
      <c r="L102" s="68"/>
      <c r="M102" s="68">
        <v>2</v>
      </c>
      <c r="N102" s="68"/>
      <c r="O102" s="68">
        <v>2</v>
      </c>
      <c r="P102" s="68"/>
      <c r="Q102" s="68"/>
      <c r="R102" s="68"/>
      <c r="S102" s="68">
        <v>1</v>
      </c>
      <c r="T102" s="68"/>
      <c r="U102" s="68"/>
      <c r="V102" s="68"/>
      <c r="W102" s="68">
        <v>0</v>
      </c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96"/>
    </row>
    <row r="103" spans="1:34" x14ac:dyDescent="0.25">
      <c r="A103" s="119" t="s">
        <v>462</v>
      </c>
      <c r="B103" s="23" t="s">
        <v>205</v>
      </c>
      <c r="C103" s="22">
        <v>6264080</v>
      </c>
      <c r="D103" s="7">
        <v>44326</v>
      </c>
      <c r="E103" s="7">
        <v>45251</v>
      </c>
      <c r="F103" s="68">
        <f t="shared" si="4"/>
        <v>925</v>
      </c>
      <c r="G103" s="23" t="s">
        <v>171</v>
      </c>
      <c r="H103" s="70">
        <v>0</v>
      </c>
      <c r="I103" s="70">
        <v>1</v>
      </c>
      <c r="J103" s="68">
        <v>2</v>
      </c>
      <c r="K103" s="71"/>
      <c r="L103" s="71"/>
      <c r="M103" s="71">
        <v>2</v>
      </c>
      <c r="N103" s="71"/>
      <c r="O103" s="71">
        <v>2</v>
      </c>
      <c r="P103" s="71"/>
      <c r="Q103" s="71"/>
      <c r="R103" s="71"/>
      <c r="S103" s="71">
        <v>1</v>
      </c>
      <c r="T103" s="71"/>
      <c r="U103" s="71"/>
      <c r="V103" s="71"/>
      <c r="W103" s="71">
        <v>0</v>
      </c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</row>
    <row r="104" spans="1:34" x14ac:dyDescent="0.25">
      <c r="A104" s="119" t="s">
        <v>461</v>
      </c>
      <c r="B104" s="47" t="s">
        <v>288</v>
      </c>
      <c r="C104" s="48">
        <v>6259132</v>
      </c>
      <c r="D104" s="84">
        <v>44425</v>
      </c>
      <c r="E104" s="84">
        <v>45177</v>
      </c>
      <c r="F104" s="68">
        <f t="shared" si="4"/>
        <v>752</v>
      </c>
      <c r="G104" s="49" t="s">
        <v>242</v>
      </c>
      <c r="H104" s="70">
        <v>0</v>
      </c>
      <c r="I104" s="70">
        <v>1</v>
      </c>
      <c r="J104" s="79">
        <v>0</v>
      </c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>
        <v>0</v>
      </c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25"/>
    </row>
    <row r="105" spans="1:34" x14ac:dyDescent="0.25">
      <c r="A105" s="119" t="s">
        <v>460</v>
      </c>
      <c r="B105" s="44" t="s">
        <v>273</v>
      </c>
      <c r="C105" s="63">
        <v>6232438</v>
      </c>
      <c r="D105" s="84">
        <v>44342</v>
      </c>
      <c r="E105" s="84">
        <v>45107</v>
      </c>
      <c r="F105" s="68">
        <f t="shared" si="4"/>
        <v>765</v>
      </c>
      <c r="G105" s="24" t="s">
        <v>242</v>
      </c>
      <c r="H105" s="70">
        <v>0</v>
      </c>
      <c r="I105" s="70">
        <v>1</v>
      </c>
      <c r="J105" s="78">
        <v>0</v>
      </c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>
        <v>0</v>
      </c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</row>
    <row r="106" spans="1:34" x14ac:dyDescent="0.25">
      <c r="A106" s="119" t="s">
        <v>464</v>
      </c>
      <c r="B106" s="21" t="s">
        <v>262</v>
      </c>
      <c r="C106" s="22">
        <v>6283137</v>
      </c>
      <c r="D106" s="84">
        <v>44278</v>
      </c>
      <c r="E106" s="84">
        <v>45181</v>
      </c>
      <c r="F106" s="68">
        <f t="shared" si="4"/>
        <v>903</v>
      </c>
      <c r="G106" s="24" t="s">
        <v>242</v>
      </c>
      <c r="H106" s="70">
        <v>0</v>
      </c>
      <c r="I106" s="70">
        <v>1</v>
      </c>
      <c r="J106" s="71">
        <v>2</v>
      </c>
      <c r="K106" s="71"/>
      <c r="L106" s="71"/>
      <c r="M106" s="71">
        <v>2</v>
      </c>
      <c r="N106" s="71"/>
      <c r="O106" s="71"/>
      <c r="P106" s="71"/>
      <c r="Q106" s="71">
        <v>2</v>
      </c>
      <c r="R106" s="71"/>
      <c r="S106" s="71"/>
      <c r="T106" s="71"/>
      <c r="U106" s="71"/>
      <c r="V106" s="71" t="s">
        <v>263</v>
      </c>
      <c r="W106" s="71">
        <v>0</v>
      </c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</row>
    <row r="107" spans="1:34" s="114" customFormat="1" x14ac:dyDescent="0.25">
      <c r="A107" s="119" t="s">
        <v>466</v>
      </c>
      <c r="B107" s="21" t="s">
        <v>247</v>
      </c>
      <c r="C107" s="22">
        <v>6332571</v>
      </c>
      <c r="D107" s="84">
        <v>44173</v>
      </c>
      <c r="E107" s="84">
        <v>45125</v>
      </c>
      <c r="F107" s="68">
        <f t="shared" si="4"/>
        <v>952</v>
      </c>
      <c r="G107" s="24" t="s">
        <v>242</v>
      </c>
      <c r="H107" s="70">
        <v>0</v>
      </c>
      <c r="I107" s="70">
        <v>1</v>
      </c>
      <c r="J107" s="71">
        <v>1</v>
      </c>
      <c r="K107" s="72"/>
      <c r="L107" s="71"/>
      <c r="M107" s="71">
        <v>1</v>
      </c>
      <c r="N107" s="71">
        <v>1</v>
      </c>
      <c r="O107" s="71"/>
      <c r="P107" s="71"/>
      <c r="Q107" s="71">
        <v>2</v>
      </c>
      <c r="R107" s="71"/>
      <c r="S107" s="71"/>
      <c r="T107" s="71"/>
      <c r="U107" s="71"/>
      <c r="V107" s="71" t="s">
        <v>248</v>
      </c>
      <c r="W107" s="71">
        <v>0</v>
      </c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96"/>
    </row>
    <row r="108" spans="1:34" x14ac:dyDescent="0.25">
      <c r="A108" s="118" t="s">
        <v>409</v>
      </c>
      <c r="B108" s="102" t="s">
        <v>51</v>
      </c>
      <c r="C108" s="142">
        <v>4366069</v>
      </c>
      <c r="D108" s="7">
        <v>44410</v>
      </c>
      <c r="E108" s="110">
        <v>45427</v>
      </c>
      <c r="F108" s="111">
        <f t="shared" si="4"/>
        <v>1017</v>
      </c>
      <c r="G108" s="9" t="s">
        <v>32</v>
      </c>
      <c r="H108" s="87">
        <v>1</v>
      </c>
      <c r="I108" s="87">
        <v>1</v>
      </c>
      <c r="J108" s="87">
        <v>0</v>
      </c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 t="s">
        <v>52</v>
      </c>
      <c r="W108" s="87">
        <v>0</v>
      </c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</row>
    <row r="109" spans="1:34" x14ac:dyDescent="0.25">
      <c r="A109" s="119" t="s">
        <v>480</v>
      </c>
      <c r="B109" s="25" t="s">
        <v>275</v>
      </c>
      <c r="C109" s="64">
        <v>6497371</v>
      </c>
      <c r="D109" s="84">
        <v>44354</v>
      </c>
      <c r="E109" s="84">
        <v>45273</v>
      </c>
      <c r="F109" s="68">
        <f t="shared" si="4"/>
        <v>919</v>
      </c>
      <c r="G109" s="35" t="s">
        <v>242</v>
      </c>
      <c r="H109" s="70">
        <v>0</v>
      </c>
      <c r="I109" s="70">
        <v>1</v>
      </c>
      <c r="J109" s="78">
        <v>0</v>
      </c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8">
        <v>0</v>
      </c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</row>
    <row r="110" spans="1:34" x14ac:dyDescent="0.25">
      <c r="A110" s="119" t="s">
        <v>472</v>
      </c>
      <c r="B110" s="21" t="s">
        <v>260</v>
      </c>
      <c r="C110" s="22">
        <v>6384553</v>
      </c>
      <c r="D110" s="84">
        <v>44264</v>
      </c>
      <c r="E110" s="84">
        <v>45216</v>
      </c>
      <c r="F110" s="68">
        <f t="shared" si="4"/>
        <v>952</v>
      </c>
      <c r="G110" s="24" t="s">
        <v>242</v>
      </c>
      <c r="H110" s="70">
        <v>0</v>
      </c>
      <c r="I110" s="70">
        <v>1</v>
      </c>
      <c r="J110" s="71">
        <v>0</v>
      </c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>
        <v>0</v>
      </c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</row>
    <row r="111" spans="1:34" x14ac:dyDescent="0.25">
      <c r="A111" s="119" t="s">
        <v>469</v>
      </c>
      <c r="B111" s="9" t="s">
        <v>258</v>
      </c>
      <c r="C111" s="22">
        <v>6346687</v>
      </c>
      <c r="D111" s="84">
        <v>44257</v>
      </c>
      <c r="E111" s="84">
        <v>45202</v>
      </c>
      <c r="F111" s="68">
        <f t="shared" si="4"/>
        <v>945</v>
      </c>
      <c r="G111" s="24" t="s">
        <v>242</v>
      </c>
      <c r="H111" s="70">
        <v>0</v>
      </c>
      <c r="I111" s="70">
        <v>1</v>
      </c>
      <c r="J111" s="71">
        <v>1</v>
      </c>
      <c r="K111" s="71"/>
      <c r="L111" s="71"/>
      <c r="M111" s="71">
        <v>1</v>
      </c>
      <c r="N111" s="71"/>
      <c r="O111" s="71"/>
      <c r="P111" s="71"/>
      <c r="Q111" s="71">
        <v>1</v>
      </c>
      <c r="R111" s="71"/>
      <c r="S111" s="71"/>
      <c r="T111" s="71"/>
      <c r="U111" s="71"/>
      <c r="V111" s="71"/>
      <c r="W111" s="71">
        <v>2</v>
      </c>
      <c r="X111" s="71"/>
      <c r="Y111" s="71">
        <v>2</v>
      </c>
      <c r="Z111" s="71"/>
      <c r="AA111" s="71"/>
      <c r="AB111" s="71"/>
      <c r="AC111" s="71"/>
      <c r="AD111" s="71"/>
      <c r="AE111" s="71"/>
      <c r="AF111" s="71"/>
      <c r="AG111" s="71"/>
    </row>
    <row r="112" spans="1:34" x14ac:dyDescent="0.25">
      <c r="A112" s="119" t="s">
        <v>467</v>
      </c>
      <c r="B112" s="21" t="s">
        <v>251</v>
      </c>
      <c r="C112" s="22">
        <v>6334432</v>
      </c>
      <c r="D112" s="84">
        <v>44183</v>
      </c>
      <c r="E112" s="84">
        <v>45166</v>
      </c>
      <c r="F112" s="68">
        <f t="shared" si="4"/>
        <v>983</v>
      </c>
      <c r="G112" s="24" t="s">
        <v>242</v>
      </c>
      <c r="H112" s="70">
        <v>0</v>
      </c>
      <c r="I112" s="70">
        <v>1</v>
      </c>
      <c r="J112" s="71">
        <v>0</v>
      </c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>
        <v>0</v>
      </c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</row>
    <row r="113" spans="1:34" x14ac:dyDescent="0.25">
      <c r="A113" s="118" t="s">
        <v>311</v>
      </c>
      <c r="B113" s="92" t="s">
        <v>53</v>
      </c>
      <c r="C113" s="137">
        <v>327692</v>
      </c>
      <c r="D113" s="7">
        <v>44452</v>
      </c>
      <c r="E113" s="110">
        <v>45215</v>
      </c>
      <c r="F113" s="111">
        <f t="shared" si="4"/>
        <v>763</v>
      </c>
      <c r="G113" s="9" t="s">
        <v>32</v>
      </c>
      <c r="H113" s="112">
        <v>0</v>
      </c>
      <c r="I113" s="112">
        <v>1</v>
      </c>
      <c r="J113" s="112">
        <v>1</v>
      </c>
      <c r="K113" s="112"/>
      <c r="L113" s="112"/>
      <c r="M113" s="112">
        <v>1</v>
      </c>
      <c r="N113" s="112"/>
      <c r="O113" s="112"/>
      <c r="P113" s="112"/>
      <c r="Q113" s="112"/>
      <c r="R113" s="112"/>
      <c r="S113" s="112">
        <v>1</v>
      </c>
      <c r="T113" s="112"/>
      <c r="U113" s="112"/>
      <c r="V113" s="112"/>
      <c r="W113" s="112">
        <v>0</v>
      </c>
      <c r="X113" s="112"/>
      <c r="Y113" s="112"/>
      <c r="Z113" s="112"/>
      <c r="AA113" s="112"/>
      <c r="AB113" s="112"/>
      <c r="AC113" s="112"/>
      <c r="AD113" s="112"/>
      <c r="AE113" s="112"/>
      <c r="AF113" s="112">
        <v>1</v>
      </c>
      <c r="AG113" s="112">
        <v>2</v>
      </c>
    </row>
    <row r="114" spans="1:34" x14ac:dyDescent="0.25">
      <c r="A114" s="107" t="s">
        <v>470</v>
      </c>
      <c r="B114" s="47" t="s">
        <v>211</v>
      </c>
      <c r="C114" s="48">
        <v>6349772</v>
      </c>
      <c r="D114" s="7">
        <v>44383</v>
      </c>
      <c r="E114" s="7">
        <v>45125</v>
      </c>
      <c r="F114" s="68">
        <f t="shared" si="4"/>
        <v>742</v>
      </c>
      <c r="G114" s="49" t="s">
        <v>171</v>
      </c>
      <c r="H114" s="70">
        <v>0</v>
      </c>
      <c r="I114" s="70">
        <v>1</v>
      </c>
      <c r="J114" s="79">
        <v>2</v>
      </c>
      <c r="K114" s="79"/>
      <c r="L114" s="79"/>
      <c r="M114" s="79">
        <v>2</v>
      </c>
      <c r="N114" s="79"/>
      <c r="O114" s="79">
        <v>2</v>
      </c>
      <c r="P114" s="79"/>
      <c r="Q114" s="79"/>
      <c r="R114" s="79"/>
      <c r="S114" s="79">
        <v>1</v>
      </c>
      <c r="T114" s="79"/>
      <c r="U114" s="79"/>
      <c r="V114" s="79" t="s">
        <v>212</v>
      </c>
      <c r="W114" s="79">
        <v>0</v>
      </c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</row>
    <row r="115" spans="1:34" x14ac:dyDescent="0.25">
      <c r="A115" s="118" t="s">
        <v>488</v>
      </c>
      <c r="B115" s="90" t="s">
        <v>54</v>
      </c>
      <c r="C115" s="137">
        <v>6551189</v>
      </c>
      <c r="D115" s="7">
        <v>44489</v>
      </c>
      <c r="E115" s="110">
        <v>45429</v>
      </c>
      <c r="F115" s="111">
        <f t="shared" si="4"/>
        <v>940</v>
      </c>
      <c r="G115" s="9" t="s">
        <v>32</v>
      </c>
      <c r="H115" s="112">
        <v>0</v>
      </c>
      <c r="I115" s="112">
        <v>1</v>
      </c>
      <c r="J115" s="112">
        <v>1</v>
      </c>
      <c r="K115" s="112"/>
      <c r="L115" s="112"/>
      <c r="M115" s="112"/>
      <c r="N115" s="112">
        <v>1</v>
      </c>
      <c r="O115" s="112"/>
      <c r="P115" s="112"/>
      <c r="Q115" s="112"/>
      <c r="R115" s="112"/>
      <c r="S115" s="112"/>
      <c r="T115" s="112"/>
      <c r="U115" s="112"/>
      <c r="V115" s="112"/>
      <c r="W115" s="112">
        <v>0</v>
      </c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>
        <v>1</v>
      </c>
    </row>
    <row r="116" spans="1:34" x14ac:dyDescent="0.25">
      <c r="A116" s="119" t="s">
        <v>478</v>
      </c>
      <c r="B116" s="47" t="s">
        <v>219</v>
      </c>
      <c r="C116" s="48">
        <v>6491856</v>
      </c>
      <c r="D116" s="7">
        <v>44438</v>
      </c>
      <c r="E116" s="7">
        <v>45209</v>
      </c>
      <c r="F116" s="68">
        <f t="shared" si="4"/>
        <v>771</v>
      </c>
      <c r="G116" s="49" t="s">
        <v>171</v>
      </c>
      <c r="H116" s="70">
        <v>0</v>
      </c>
      <c r="I116" s="70">
        <v>1</v>
      </c>
      <c r="J116" s="79">
        <v>2</v>
      </c>
      <c r="K116" s="79"/>
      <c r="L116" s="79"/>
      <c r="M116" s="79"/>
      <c r="N116" s="79"/>
      <c r="O116" s="79"/>
      <c r="P116" s="79"/>
      <c r="Q116" s="79">
        <v>2</v>
      </c>
      <c r="R116" s="79"/>
      <c r="S116" s="79"/>
      <c r="T116" s="79"/>
      <c r="U116" s="79"/>
      <c r="V116" s="79" t="s">
        <v>220</v>
      </c>
      <c r="W116" s="79">
        <v>0</v>
      </c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</row>
    <row r="117" spans="1:34" ht="15.75" customHeight="1" x14ac:dyDescent="0.25">
      <c r="A117" s="119" t="s">
        <v>474</v>
      </c>
      <c r="B117" s="47" t="s">
        <v>285</v>
      </c>
      <c r="C117" s="48">
        <v>6430250</v>
      </c>
      <c r="D117" s="84">
        <v>44414</v>
      </c>
      <c r="E117" s="84">
        <v>45152</v>
      </c>
      <c r="F117" s="68">
        <f t="shared" si="4"/>
        <v>738</v>
      </c>
      <c r="G117" s="49" t="s">
        <v>242</v>
      </c>
      <c r="H117" s="70">
        <v>0</v>
      </c>
      <c r="I117" s="70">
        <v>1</v>
      </c>
      <c r="J117" s="79">
        <v>0</v>
      </c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>
        <v>0</v>
      </c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</row>
    <row r="118" spans="1:34" x14ac:dyDescent="0.25">
      <c r="A118" s="119" t="s">
        <v>479</v>
      </c>
      <c r="B118" s="47" t="s">
        <v>300</v>
      </c>
      <c r="C118" s="40">
        <v>6495503</v>
      </c>
      <c r="D118" s="84">
        <v>44483</v>
      </c>
      <c r="E118" s="84">
        <v>45257</v>
      </c>
      <c r="F118" s="68">
        <f t="shared" si="4"/>
        <v>774</v>
      </c>
      <c r="G118" s="22" t="s">
        <v>242</v>
      </c>
      <c r="H118" s="70">
        <v>0</v>
      </c>
      <c r="I118" s="70">
        <v>1</v>
      </c>
      <c r="J118" s="79">
        <v>0</v>
      </c>
      <c r="K118" s="71"/>
      <c r="L118" s="79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>
        <v>0</v>
      </c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25"/>
    </row>
    <row r="119" spans="1:34" x14ac:dyDescent="0.25">
      <c r="A119" s="118" t="s">
        <v>376</v>
      </c>
      <c r="B119" s="90" t="s">
        <v>55</v>
      </c>
      <c r="C119" s="137">
        <v>2803028</v>
      </c>
      <c r="D119" s="7">
        <v>44489</v>
      </c>
      <c r="E119" s="110">
        <v>45434</v>
      </c>
      <c r="F119" s="111">
        <f t="shared" si="4"/>
        <v>945</v>
      </c>
      <c r="G119" s="9" t="s">
        <v>40</v>
      </c>
      <c r="H119" s="112">
        <v>0</v>
      </c>
      <c r="I119" s="112">
        <v>1</v>
      </c>
      <c r="J119" s="112">
        <v>1</v>
      </c>
      <c r="K119" s="112"/>
      <c r="L119" s="112"/>
      <c r="M119" s="112"/>
      <c r="N119" s="112"/>
      <c r="O119" s="112"/>
      <c r="P119" s="112"/>
      <c r="Q119" s="112"/>
      <c r="R119" s="112"/>
      <c r="S119" s="112">
        <v>1</v>
      </c>
      <c r="T119" s="112"/>
      <c r="U119" s="112"/>
      <c r="V119" s="112"/>
      <c r="W119" s="112">
        <v>0</v>
      </c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</row>
    <row r="120" spans="1:34" x14ac:dyDescent="0.25">
      <c r="A120" s="119" t="s">
        <v>486</v>
      </c>
      <c r="B120" s="47" t="s">
        <v>284</v>
      </c>
      <c r="C120" s="48">
        <v>6523443</v>
      </c>
      <c r="D120" s="84">
        <v>44372</v>
      </c>
      <c r="E120" s="84">
        <v>45131</v>
      </c>
      <c r="F120" s="68">
        <f t="shared" si="4"/>
        <v>759</v>
      </c>
      <c r="G120" s="49" t="s">
        <v>242</v>
      </c>
      <c r="H120" s="70">
        <v>0</v>
      </c>
      <c r="I120" s="70">
        <v>1</v>
      </c>
      <c r="J120" s="79">
        <v>0</v>
      </c>
      <c r="K120" s="79"/>
      <c r="L120" s="79"/>
      <c r="M120" s="79">
        <v>0</v>
      </c>
      <c r="N120" s="79"/>
      <c r="O120" s="79"/>
      <c r="P120" s="79"/>
      <c r="Q120" s="79"/>
      <c r="R120" s="79"/>
      <c r="S120" s="79"/>
      <c r="T120" s="79"/>
      <c r="U120" s="79"/>
      <c r="V120" s="79"/>
      <c r="W120" s="79">
        <v>0</v>
      </c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</row>
    <row r="121" spans="1:34" x14ac:dyDescent="0.25">
      <c r="A121" s="118" t="s">
        <v>483</v>
      </c>
      <c r="B121" s="50" t="s">
        <v>56</v>
      </c>
      <c r="C121" s="137">
        <v>6515626</v>
      </c>
      <c r="D121" s="7">
        <v>44580</v>
      </c>
      <c r="E121" s="110">
        <v>45328</v>
      </c>
      <c r="F121" s="111">
        <f t="shared" si="4"/>
        <v>748</v>
      </c>
      <c r="G121" s="9" t="s">
        <v>32</v>
      </c>
      <c r="H121" s="112">
        <v>0</v>
      </c>
      <c r="I121" s="112">
        <v>1</v>
      </c>
      <c r="J121" s="112">
        <v>0</v>
      </c>
      <c r="K121" s="112"/>
      <c r="L121" s="112"/>
      <c r="M121" s="112"/>
      <c r="N121" s="112"/>
      <c r="O121" s="112"/>
      <c r="P121" s="112"/>
      <c r="Q121" s="112"/>
      <c r="R121" s="112"/>
      <c r="S121" s="112">
        <v>1</v>
      </c>
      <c r="T121" s="112"/>
      <c r="U121" s="112"/>
      <c r="V121" s="112"/>
      <c r="W121" s="112">
        <v>0</v>
      </c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</row>
    <row r="122" spans="1:34" x14ac:dyDescent="0.25">
      <c r="A122" s="118" t="s">
        <v>446</v>
      </c>
      <c r="B122" s="90" t="s">
        <v>57</v>
      </c>
      <c r="C122" s="93">
        <v>5576950</v>
      </c>
      <c r="D122" s="7">
        <v>44490</v>
      </c>
      <c r="E122" s="110">
        <v>45413</v>
      </c>
      <c r="F122" s="111">
        <f t="shared" si="4"/>
        <v>923</v>
      </c>
      <c r="G122" s="9" t="s">
        <v>32</v>
      </c>
      <c r="H122" s="112">
        <v>0</v>
      </c>
      <c r="I122" s="112">
        <v>1</v>
      </c>
      <c r="J122" s="112">
        <v>1</v>
      </c>
      <c r="K122" s="112"/>
      <c r="L122" s="112"/>
      <c r="M122" s="112">
        <v>1</v>
      </c>
      <c r="N122" s="112">
        <v>1</v>
      </c>
      <c r="O122" s="112"/>
      <c r="P122" s="112"/>
      <c r="Q122" s="112">
        <v>1</v>
      </c>
      <c r="R122" s="112"/>
      <c r="S122" s="112"/>
      <c r="T122" s="112"/>
      <c r="U122" s="112"/>
      <c r="V122" s="112"/>
      <c r="W122" s="112">
        <v>0</v>
      </c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>
        <v>2</v>
      </c>
    </row>
    <row r="123" spans="1:34" s="113" customFormat="1" x14ac:dyDescent="0.25">
      <c r="A123" s="119" t="s">
        <v>482</v>
      </c>
      <c r="B123" s="50" t="s">
        <v>296</v>
      </c>
      <c r="C123" s="49">
        <v>6502699</v>
      </c>
      <c r="D123" s="84">
        <v>44428</v>
      </c>
      <c r="E123" s="84">
        <v>45236</v>
      </c>
      <c r="F123" s="68">
        <f t="shared" si="4"/>
        <v>808</v>
      </c>
      <c r="G123" s="49" t="s">
        <v>242</v>
      </c>
      <c r="H123" s="70">
        <v>0</v>
      </c>
      <c r="I123" s="70">
        <v>1</v>
      </c>
      <c r="J123" s="79">
        <v>0</v>
      </c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>
        <v>0</v>
      </c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25"/>
    </row>
    <row r="124" spans="1:34" x14ac:dyDescent="0.25">
      <c r="A124" s="109" t="s">
        <v>485</v>
      </c>
      <c r="B124" s="25" t="s">
        <v>298</v>
      </c>
      <c r="C124" s="66">
        <v>6523086</v>
      </c>
      <c r="D124" s="84">
        <v>44474</v>
      </c>
      <c r="E124" s="84">
        <v>45236</v>
      </c>
      <c r="F124" s="68">
        <f t="shared" si="4"/>
        <v>762</v>
      </c>
      <c r="G124" s="22" t="s">
        <v>242</v>
      </c>
      <c r="H124" s="70">
        <v>0</v>
      </c>
      <c r="I124" s="70">
        <v>1</v>
      </c>
      <c r="J124" s="79">
        <v>0</v>
      </c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9">
        <v>0</v>
      </c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25"/>
    </row>
    <row r="125" spans="1:34" x14ac:dyDescent="0.25">
      <c r="A125" s="118" t="s">
        <v>490</v>
      </c>
      <c r="B125" s="91" t="s">
        <v>58</v>
      </c>
      <c r="C125" s="142">
        <v>6587602</v>
      </c>
      <c r="D125" s="7">
        <v>44489</v>
      </c>
      <c r="E125" s="110">
        <v>44881</v>
      </c>
      <c r="F125" s="111">
        <f t="shared" si="4"/>
        <v>392</v>
      </c>
      <c r="G125" s="9" t="s">
        <v>32</v>
      </c>
      <c r="H125" s="87">
        <v>1</v>
      </c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 t="s">
        <v>305</v>
      </c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</row>
    <row r="126" spans="1:34" s="25" customFormat="1" x14ac:dyDescent="0.25">
      <c r="A126" s="118" t="s">
        <v>406</v>
      </c>
      <c r="B126" s="91" t="s">
        <v>59</v>
      </c>
      <c r="C126" s="93">
        <v>4223888</v>
      </c>
      <c r="D126" s="7">
        <v>44573</v>
      </c>
      <c r="E126" s="110">
        <v>44671</v>
      </c>
      <c r="F126" s="111">
        <f t="shared" si="4"/>
        <v>98</v>
      </c>
      <c r="G126" s="9" t="s">
        <v>40</v>
      </c>
      <c r="H126" s="87">
        <v>1</v>
      </c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 t="s">
        <v>306</v>
      </c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96"/>
    </row>
    <row r="127" spans="1:34" x14ac:dyDescent="0.25">
      <c r="A127" s="118" t="s">
        <v>458</v>
      </c>
      <c r="B127" s="92" t="s">
        <v>60</v>
      </c>
      <c r="C127" s="137">
        <v>6195907</v>
      </c>
      <c r="D127" s="7">
        <v>44488</v>
      </c>
      <c r="E127" s="110">
        <v>45434</v>
      </c>
      <c r="F127" s="111">
        <f t="shared" si="4"/>
        <v>946</v>
      </c>
      <c r="G127" s="9" t="s">
        <v>32</v>
      </c>
      <c r="H127" s="112">
        <v>0</v>
      </c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</row>
    <row r="128" spans="1:34" x14ac:dyDescent="0.25">
      <c r="A128" s="118" t="s">
        <v>380</v>
      </c>
      <c r="B128" s="92" t="s">
        <v>61</v>
      </c>
      <c r="C128" s="137">
        <v>3350992</v>
      </c>
      <c r="D128" s="7">
        <v>44496</v>
      </c>
      <c r="E128" s="110">
        <v>45413</v>
      </c>
      <c r="F128" s="111">
        <f t="shared" si="4"/>
        <v>917</v>
      </c>
      <c r="G128" s="9" t="s">
        <v>32</v>
      </c>
      <c r="H128" s="112">
        <v>0</v>
      </c>
      <c r="I128" s="112">
        <v>1</v>
      </c>
      <c r="J128" s="112">
        <v>1</v>
      </c>
      <c r="K128" s="112"/>
      <c r="L128" s="112"/>
      <c r="M128" s="112">
        <v>1</v>
      </c>
      <c r="N128" s="112"/>
      <c r="O128" s="112"/>
      <c r="P128" s="112"/>
      <c r="Q128" s="112"/>
      <c r="R128" s="112"/>
      <c r="S128" s="112"/>
      <c r="T128" s="112"/>
      <c r="U128" s="112"/>
      <c r="V128" s="112"/>
      <c r="W128" s="112">
        <v>0</v>
      </c>
      <c r="X128" s="112"/>
      <c r="Y128" s="112"/>
      <c r="Z128" s="112"/>
      <c r="AA128" s="112"/>
      <c r="AB128" s="112"/>
      <c r="AC128" s="112"/>
      <c r="AD128" s="112"/>
      <c r="AE128" s="112"/>
      <c r="AF128" s="112">
        <v>1</v>
      </c>
      <c r="AG128" s="112">
        <v>1</v>
      </c>
    </row>
    <row r="129" spans="1:34" x14ac:dyDescent="0.25">
      <c r="A129" s="118" t="s">
        <v>410</v>
      </c>
      <c r="B129" s="94" t="s">
        <v>62</v>
      </c>
      <c r="C129" s="137">
        <v>4419787</v>
      </c>
      <c r="D129" s="7">
        <v>44687</v>
      </c>
      <c r="E129" s="110">
        <v>45433</v>
      </c>
      <c r="F129" s="111">
        <f t="shared" si="4"/>
        <v>746</v>
      </c>
      <c r="G129" s="9" t="s">
        <v>32</v>
      </c>
      <c r="H129" s="112">
        <v>0</v>
      </c>
      <c r="I129" s="112">
        <v>1</v>
      </c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</row>
    <row r="130" spans="1:34" x14ac:dyDescent="0.25">
      <c r="A130" s="118" t="s">
        <v>437</v>
      </c>
      <c r="B130" s="91" t="s">
        <v>63</v>
      </c>
      <c r="C130" s="93">
        <v>5395575</v>
      </c>
      <c r="D130" s="7">
        <v>44543</v>
      </c>
      <c r="E130" s="110">
        <v>45468</v>
      </c>
      <c r="F130" s="111">
        <f t="shared" si="4"/>
        <v>925</v>
      </c>
      <c r="G130" s="9" t="s">
        <v>40</v>
      </c>
      <c r="H130" s="112">
        <v>0</v>
      </c>
      <c r="I130" s="112">
        <v>1</v>
      </c>
      <c r="J130" s="112">
        <v>1</v>
      </c>
      <c r="K130" s="112"/>
      <c r="L130" s="112"/>
      <c r="M130" s="112">
        <v>1</v>
      </c>
      <c r="N130" s="112"/>
      <c r="O130" s="112"/>
      <c r="P130" s="112"/>
      <c r="Q130" s="112"/>
      <c r="R130" s="112"/>
      <c r="S130" s="112">
        <v>1</v>
      </c>
      <c r="T130" s="112"/>
      <c r="U130" s="112"/>
      <c r="V130" s="112"/>
      <c r="W130" s="112">
        <v>0</v>
      </c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>
        <v>2</v>
      </c>
    </row>
    <row r="131" spans="1:34" x14ac:dyDescent="0.25">
      <c r="A131" s="118" t="s">
        <v>463</v>
      </c>
      <c r="B131" s="93" t="s">
        <v>158</v>
      </c>
      <c r="C131" s="93">
        <v>6264367</v>
      </c>
      <c r="D131" s="115">
        <v>44482</v>
      </c>
      <c r="E131" s="115">
        <v>45266</v>
      </c>
      <c r="F131" s="116">
        <f>(E131-D131)</f>
        <v>784</v>
      </c>
      <c r="G131" s="105" t="s">
        <v>148</v>
      </c>
      <c r="H131" s="112">
        <v>0</v>
      </c>
      <c r="I131" s="112">
        <v>1</v>
      </c>
      <c r="J131" s="112">
        <v>1</v>
      </c>
      <c r="K131" s="112"/>
      <c r="L131" s="112">
        <v>1</v>
      </c>
      <c r="M131" s="112"/>
      <c r="N131" s="112"/>
      <c r="O131" s="112"/>
      <c r="P131" s="112"/>
      <c r="Q131" s="112"/>
      <c r="R131" s="112"/>
      <c r="S131" s="112">
        <v>1</v>
      </c>
      <c r="T131" s="112"/>
      <c r="U131" s="112"/>
      <c r="V131" s="112"/>
      <c r="W131" s="112">
        <v>0</v>
      </c>
      <c r="X131" s="112"/>
      <c r="Y131" s="112"/>
      <c r="Z131" s="112"/>
      <c r="AA131" s="112"/>
      <c r="AB131" s="112"/>
      <c r="AC131" s="112"/>
      <c r="AD131" s="112"/>
      <c r="AE131" s="112"/>
      <c r="AF131" s="112">
        <v>1</v>
      </c>
      <c r="AG131" s="112">
        <v>1</v>
      </c>
      <c r="AH131" s="112"/>
    </row>
    <row r="132" spans="1:34" x14ac:dyDescent="0.25">
      <c r="A132" s="118" t="s">
        <v>506</v>
      </c>
      <c r="B132" s="92" t="s">
        <v>159</v>
      </c>
      <c r="C132" s="92" t="s">
        <v>160</v>
      </c>
      <c r="D132" s="115">
        <v>44529</v>
      </c>
      <c r="E132" s="115">
        <v>45485</v>
      </c>
      <c r="F132" s="116">
        <f>(E132-D132)</f>
        <v>956</v>
      </c>
      <c r="G132" s="105" t="s">
        <v>148</v>
      </c>
      <c r="H132" s="112">
        <v>0</v>
      </c>
      <c r="I132" s="112">
        <v>1</v>
      </c>
      <c r="J132" s="112">
        <v>1</v>
      </c>
      <c r="K132" s="112"/>
      <c r="L132" s="112"/>
      <c r="M132" s="112">
        <v>1</v>
      </c>
      <c r="N132" s="112"/>
      <c r="O132" s="112"/>
      <c r="P132" s="112"/>
      <c r="Q132" s="112">
        <v>1</v>
      </c>
      <c r="R132" s="112"/>
      <c r="S132" s="112"/>
      <c r="T132" s="112"/>
      <c r="U132" s="112"/>
      <c r="V132" s="112"/>
      <c r="W132" s="112">
        <v>0</v>
      </c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>
        <v>1</v>
      </c>
      <c r="AH132" s="112"/>
    </row>
    <row r="133" spans="1:34" x14ac:dyDescent="0.25">
      <c r="A133" s="118" t="s">
        <v>477</v>
      </c>
      <c r="B133" s="92" t="s">
        <v>64</v>
      </c>
      <c r="C133" s="137">
        <v>6463964</v>
      </c>
      <c r="D133" s="7">
        <v>44519</v>
      </c>
      <c r="E133" s="110">
        <v>45441</v>
      </c>
      <c r="F133" s="111">
        <f t="shared" ref="F133:F159" si="5">E133-D133</f>
        <v>922</v>
      </c>
      <c r="G133" s="9" t="s">
        <v>65</v>
      </c>
      <c r="H133" s="112">
        <v>0</v>
      </c>
      <c r="I133" s="112">
        <v>1</v>
      </c>
      <c r="J133" s="112">
        <v>1</v>
      </c>
      <c r="K133" s="112"/>
      <c r="L133" s="112"/>
      <c r="M133" s="112">
        <v>1</v>
      </c>
      <c r="N133" s="112"/>
      <c r="O133" s="112"/>
      <c r="P133" s="112"/>
      <c r="Q133" s="112"/>
      <c r="R133" s="112"/>
      <c r="S133" s="112"/>
      <c r="T133" s="112"/>
      <c r="U133" s="112"/>
      <c r="V133" s="112"/>
      <c r="W133" s="112">
        <v>0</v>
      </c>
      <c r="X133" s="112"/>
      <c r="Y133" s="112"/>
      <c r="Z133" s="112"/>
      <c r="AA133" s="112"/>
      <c r="AB133" s="112"/>
      <c r="AC133" s="112"/>
      <c r="AD133" s="112"/>
      <c r="AE133" s="112"/>
      <c r="AF133" s="112">
        <v>1</v>
      </c>
      <c r="AG133" s="112">
        <v>1</v>
      </c>
    </row>
    <row r="134" spans="1:34" x14ac:dyDescent="0.25">
      <c r="A134" s="118" t="s">
        <v>493</v>
      </c>
      <c r="B134" s="92" t="s">
        <v>66</v>
      </c>
      <c r="C134" s="137">
        <v>6606902</v>
      </c>
      <c r="D134" s="7">
        <v>44522</v>
      </c>
      <c r="E134" s="110">
        <v>45440</v>
      </c>
      <c r="F134" s="111">
        <f t="shared" si="5"/>
        <v>918</v>
      </c>
      <c r="G134" s="9" t="s">
        <v>65</v>
      </c>
      <c r="H134" s="112">
        <v>0</v>
      </c>
      <c r="I134" s="112">
        <v>1</v>
      </c>
      <c r="J134" s="112">
        <v>0</v>
      </c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>
        <v>0</v>
      </c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</row>
    <row r="135" spans="1:34" x14ac:dyDescent="0.25">
      <c r="A135" s="118" t="s">
        <v>443</v>
      </c>
      <c r="B135" s="92" t="s">
        <v>67</v>
      </c>
      <c r="C135" s="137">
        <v>5495453</v>
      </c>
      <c r="D135" s="7">
        <v>44546</v>
      </c>
      <c r="E135" s="110">
        <v>44650</v>
      </c>
      <c r="F135" s="111">
        <f t="shared" si="5"/>
        <v>104</v>
      </c>
      <c r="G135" s="9" t="s">
        <v>65</v>
      </c>
      <c r="H135" s="87">
        <v>1</v>
      </c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 t="s">
        <v>306</v>
      </c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</row>
    <row r="136" spans="1:34" x14ac:dyDescent="0.25">
      <c r="A136" s="118" t="s">
        <v>347</v>
      </c>
      <c r="B136" s="104" t="s">
        <v>68</v>
      </c>
      <c r="C136" s="93">
        <v>1817419</v>
      </c>
      <c r="D136" s="7">
        <v>44497</v>
      </c>
      <c r="E136" s="110">
        <v>45441</v>
      </c>
      <c r="F136" s="111">
        <f t="shared" si="5"/>
        <v>944</v>
      </c>
      <c r="G136" s="9" t="s">
        <v>65</v>
      </c>
      <c r="H136" s="112">
        <v>0</v>
      </c>
      <c r="I136" s="112">
        <v>1</v>
      </c>
      <c r="J136" s="112">
        <v>0</v>
      </c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>
        <v>0</v>
      </c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</row>
    <row r="137" spans="1:34" x14ac:dyDescent="0.25">
      <c r="A137" s="118" t="s">
        <v>366</v>
      </c>
      <c r="B137" s="92" t="s">
        <v>69</v>
      </c>
      <c r="C137" s="137">
        <v>2404653</v>
      </c>
      <c r="D137" s="7">
        <v>44522</v>
      </c>
      <c r="E137" s="110">
        <v>44804</v>
      </c>
      <c r="F137" s="111">
        <f t="shared" si="5"/>
        <v>282</v>
      </c>
      <c r="G137" s="9" t="s">
        <v>65</v>
      </c>
      <c r="H137" s="87">
        <v>1</v>
      </c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 t="s">
        <v>307</v>
      </c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</row>
    <row r="138" spans="1:34" x14ac:dyDescent="0.25">
      <c r="A138" s="118" t="s">
        <v>413</v>
      </c>
      <c r="B138" s="92" t="s">
        <v>70</v>
      </c>
      <c r="C138" s="137">
        <v>4640520</v>
      </c>
      <c r="D138" s="7">
        <v>44529</v>
      </c>
      <c r="E138" s="110">
        <v>45426</v>
      </c>
      <c r="F138" s="111">
        <f t="shared" si="5"/>
        <v>897</v>
      </c>
      <c r="G138" s="9" t="s">
        <v>49</v>
      </c>
      <c r="H138" s="112">
        <v>0</v>
      </c>
      <c r="I138" s="112">
        <v>1</v>
      </c>
      <c r="J138" s="112">
        <v>0</v>
      </c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>
        <v>0</v>
      </c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</row>
    <row r="139" spans="1:34" x14ac:dyDescent="0.25">
      <c r="A139" s="118" t="s">
        <v>489</v>
      </c>
      <c r="B139" s="92" t="s">
        <v>71</v>
      </c>
      <c r="C139" s="137">
        <v>6559599</v>
      </c>
      <c r="D139" s="7">
        <v>44502</v>
      </c>
      <c r="E139" s="110">
        <v>45440</v>
      </c>
      <c r="F139" s="111">
        <f t="shared" si="5"/>
        <v>938</v>
      </c>
      <c r="G139" s="9" t="s">
        <v>65</v>
      </c>
      <c r="H139" s="112">
        <v>0</v>
      </c>
      <c r="I139" s="112">
        <v>1</v>
      </c>
      <c r="J139" s="112">
        <v>0</v>
      </c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>
        <v>0</v>
      </c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>
        <v>2</v>
      </c>
    </row>
    <row r="140" spans="1:34" x14ac:dyDescent="0.25">
      <c r="A140" s="118" t="s">
        <v>422</v>
      </c>
      <c r="B140" s="91" t="s">
        <v>72</v>
      </c>
      <c r="C140" s="93">
        <v>4855890</v>
      </c>
      <c r="D140" s="7">
        <v>44580</v>
      </c>
      <c r="E140" s="110">
        <v>45488</v>
      </c>
      <c r="F140" s="111">
        <f t="shared" si="5"/>
        <v>908</v>
      </c>
      <c r="G140" s="9" t="s">
        <v>73</v>
      </c>
      <c r="H140" s="112">
        <v>0</v>
      </c>
      <c r="I140" s="112">
        <v>1</v>
      </c>
      <c r="J140" s="112">
        <v>0</v>
      </c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>
        <v>0</v>
      </c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>
        <v>2</v>
      </c>
    </row>
    <row r="141" spans="1:34" x14ac:dyDescent="0.25">
      <c r="A141" s="118" t="s">
        <v>436</v>
      </c>
      <c r="B141" s="92" t="s">
        <v>74</v>
      </c>
      <c r="C141" s="137">
        <v>5371431</v>
      </c>
      <c r="D141" s="7">
        <v>44557</v>
      </c>
      <c r="E141" s="110">
        <v>45497</v>
      </c>
      <c r="F141" s="111">
        <f t="shared" si="5"/>
        <v>940</v>
      </c>
      <c r="G141" s="9" t="s">
        <v>65</v>
      </c>
      <c r="H141" s="112">
        <v>0</v>
      </c>
      <c r="I141" s="112">
        <v>1</v>
      </c>
      <c r="J141" s="112">
        <v>0</v>
      </c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>
        <v>0</v>
      </c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</row>
    <row r="142" spans="1:34" x14ac:dyDescent="0.25">
      <c r="A142" s="118" t="s">
        <v>398</v>
      </c>
      <c r="B142" s="92" t="s">
        <v>75</v>
      </c>
      <c r="C142" s="137">
        <v>4028469</v>
      </c>
      <c r="D142" s="7">
        <v>44539</v>
      </c>
      <c r="E142" s="110">
        <v>45485</v>
      </c>
      <c r="F142" s="111">
        <f t="shared" si="5"/>
        <v>946</v>
      </c>
      <c r="G142" s="9" t="s">
        <v>65</v>
      </c>
      <c r="H142" s="112">
        <v>0</v>
      </c>
      <c r="I142" s="112">
        <v>1</v>
      </c>
      <c r="J142" s="112">
        <v>1</v>
      </c>
      <c r="K142" s="112"/>
      <c r="L142" s="112"/>
      <c r="M142" s="112"/>
      <c r="N142" s="112"/>
      <c r="O142" s="112"/>
      <c r="P142" s="112"/>
      <c r="Q142" s="112">
        <v>2</v>
      </c>
      <c r="R142" s="112"/>
      <c r="S142" s="112">
        <v>1</v>
      </c>
      <c r="T142" s="112"/>
      <c r="U142" s="112"/>
      <c r="V142" s="112"/>
      <c r="W142" s="112">
        <v>0</v>
      </c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>
        <v>2</v>
      </c>
    </row>
    <row r="143" spans="1:34" x14ac:dyDescent="0.25">
      <c r="A143" s="118" t="s">
        <v>324</v>
      </c>
      <c r="B143" s="92" t="s">
        <v>76</v>
      </c>
      <c r="C143" s="137">
        <v>897445</v>
      </c>
      <c r="D143" s="7">
        <v>44543</v>
      </c>
      <c r="E143" s="110">
        <v>45476</v>
      </c>
      <c r="F143" s="111">
        <f t="shared" si="5"/>
        <v>933</v>
      </c>
      <c r="G143" s="9" t="s">
        <v>65</v>
      </c>
      <c r="H143" s="112">
        <v>0</v>
      </c>
      <c r="I143" s="112">
        <v>1</v>
      </c>
      <c r="J143" s="112">
        <v>1</v>
      </c>
      <c r="K143" s="112"/>
      <c r="L143" s="112"/>
      <c r="M143" s="112"/>
      <c r="N143" s="112">
        <v>1</v>
      </c>
      <c r="O143" s="112"/>
      <c r="P143" s="112"/>
      <c r="Q143" s="112"/>
      <c r="R143" s="112"/>
      <c r="S143" s="112"/>
      <c r="T143" s="112"/>
      <c r="U143" s="112"/>
      <c r="V143" s="112"/>
      <c r="W143" s="112">
        <v>0</v>
      </c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</row>
    <row r="144" spans="1:34" s="25" customFormat="1" x14ac:dyDescent="0.25">
      <c r="A144" s="118" t="s">
        <v>473</v>
      </c>
      <c r="B144" s="92" t="s">
        <v>77</v>
      </c>
      <c r="C144" s="137">
        <v>6428654</v>
      </c>
      <c r="D144" s="7">
        <v>44580</v>
      </c>
      <c r="E144" s="110">
        <v>45349</v>
      </c>
      <c r="F144" s="111">
        <f t="shared" si="5"/>
        <v>769</v>
      </c>
      <c r="G144" s="9" t="s">
        <v>65</v>
      </c>
      <c r="H144" s="112">
        <v>0</v>
      </c>
      <c r="I144" s="112">
        <v>1</v>
      </c>
      <c r="J144" s="112">
        <v>1</v>
      </c>
      <c r="K144" s="112"/>
      <c r="L144" s="112"/>
      <c r="M144" s="112">
        <v>1</v>
      </c>
      <c r="N144" s="112"/>
      <c r="O144" s="112"/>
      <c r="P144" s="112"/>
      <c r="Q144" s="112"/>
      <c r="R144" s="112"/>
      <c r="S144" s="112">
        <v>1</v>
      </c>
      <c r="T144" s="112"/>
      <c r="U144" s="112"/>
      <c r="V144" s="112"/>
      <c r="W144" s="112">
        <v>0</v>
      </c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>
        <v>2</v>
      </c>
      <c r="AH144" s="96"/>
    </row>
    <row r="145" spans="1:34" x14ac:dyDescent="0.25">
      <c r="A145" s="118" t="s">
        <v>450</v>
      </c>
      <c r="B145" s="92" t="s">
        <v>78</v>
      </c>
      <c r="C145" s="137">
        <v>5874563</v>
      </c>
      <c r="D145" s="7">
        <v>44550</v>
      </c>
      <c r="E145" s="110">
        <v>44860</v>
      </c>
      <c r="F145" s="111">
        <f t="shared" si="5"/>
        <v>310</v>
      </c>
      <c r="G145" s="9" t="s">
        <v>65</v>
      </c>
      <c r="H145" s="87">
        <v>1</v>
      </c>
      <c r="I145" s="87"/>
      <c r="J145" s="87"/>
      <c r="K145" s="123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</row>
    <row r="146" spans="1:34" x14ac:dyDescent="0.25">
      <c r="A146" s="118" t="s">
        <v>377</v>
      </c>
      <c r="B146" s="92" t="s">
        <v>79</v>
      </c>
      <c r="C146" s="137">
        <v>2950188</v>
      </c>
      <c r="D146" s="7">
        <v>44532</v>
      </c>
      <c r="E146" s="110">
        <v>45429</v>
      </c>
      <c r="F146" s="111">
        <f t="shared" si="5"/>
        <v>897</v>
      </c>
      <c r="G146" s="9" t="s">
        <v>65</v>
      </c>
      <c r="H146" s="112">
        <v>0</v>
      </c>
      <c r="I146" s="112">
        <v>1</v>
      </c>
      <c r="J146" s="112">
        <v>1</v>
      </c>
      <c r="K146" s="112"/>
      <c r="L146" s="112"/>
      <c r="M146" s="112">
        <v>1</v>
      </c>
      <c r="N146" s="112"/>
      <c r="O146" s="112"/>
      <c r="P146" s="112"/>
      <c r="Q146" s="112"/>
      <c r="R146" s="112"/>
      <c r="S146" s="112"/>
      <c r="T146" s="112"/>
      <c r="U146" s="112"/>
      <c r="V146" s="112"/>
      <c r="W146" s="112">
        <v>0</v>
      </c>
      <c r="X146" s="112"/>
      <c r="Y146" s="112"/>
      <c r="Z146" s="112"/>
      <c r="AA146" s="112"/>
      <c r="AB146" s="112"/>
      <c r="AC146" s="112"/>
      <c r="AD146" s="112"/>
      <c r="AE146" s="112"/>
      <c r="AF146" s="112">
        <v>1</v>
      </c>
      <c r="AG146" s="112">
        <v>2</v>
      </c>
    </row>
    <row r="147" spans="1:34" s="25" customFormat="1" x14ac:dyDescent="0.25">
      <c r="A147" s="118" t="s">
        <v>487</v>
      </c>
      <c r="B147" s="91" t="s">
        <v>80</v>
      </c>
      <c r="C147" s="93">
        <v>6535928</v>
      </c>
      <c r="D147" s="7">
        <v>44545</v>
      </c>
      <c r="E147" s="110">
        <v>45492</v>
      </c>
      <c r="F147" s="111">
        <f t="shared" si="5"/>
        <v>947</v>
      </c>
      <c r="G147" s="9" t="s">
        <v>65</v>
      </c>
      <c r="H147" s="112">
        <v>0</v>
      </c>
      <c r="I147" s="112">
        <v>1</v>
      </c>
      <c r="J147" s="112">
        <v>1</v>
      </c>
      <c r="K147" s="112"/>
      <c r="L147" s="112"/>
      <c r="M147" s="112">
        <v>1</v>
      </c>
      <c r="N147" s="112">
        <v>1</v>
      </c>
      <c r="O147" s="112">
        <v>1</v>
      </c>
      <c r="P147" s="112"/>
      <c r="Q147" s="112">
        <v>1</v>
      </c>
      <c r="R147" s="112"/>
      <c r="S147" s="112"/>
      <c r="T147" s="112"/>
      <c r="U147" s="112"/>
      <c r="V147" s="112"/>
      <c r="W147" s="112">
        <v>0</v>
      </c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96"/>
    </row>
    <row r="148" spans="1:34" x14ac:dyDescent="0.25">
      <c r="A148" s="118" t="s">
        <v>382</v>
      </c>
      <c r="B148" s="91" t="s">
        <v>81</v>
      </c>
      <c r="C148" s="93">
        <v>3379916</v>
      </c>
      <c r="D148" s="7">
        <v>44589</v>
      </c>
      <c r="E148" s="110">
        <v>45328</v>
      </c>
      <c r="F148" s="111">
        <f t="shared" si="5"/>
        <v>739</v>
      </c>
      <c r="G148" s="9" t="s">
        <v>65</v>
      </c>
      <c r="H148" s="112">
        <v>0</v>
      </c>
      <c r="I148" s="112">
        <v>1</v>
      </c>
      <c r="J148" s="112">
        <v>0</v>
      </c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>
        <v>0</v>
      </c>
      <c r="X148" s="112"/>
      <c r="Y148" s="112"/>
      <c r="Z148" s="112"/>
      <c r="AA148" s="112"/>
      <c r="AB148" s="112"/>
      <c r="AC148" s="112"/>
      <c r="AD148" s="112"/>
      <c r="AE148" s="112"/>
      <c r="AF148" s="112">
        <v>1</v>
      </c>
      <c r="AG148" s="112">
        <v>2</v>
      </c>
    </row>
    <row r="149" spans="1:34" x14ac:dyDescent="0.25">
      <c r="A149" s="118" t="s">
        <v>429</v>
      </c>
      <c r="B149" s="92" t="s">
        <v>82</v>
      </c>
      <c r="C149" s="137">
        <v>5122359</v>
      </c>
      <c r="D149" s="7">
        <v>44557</v>
      </c>
      <c r="E149" s="110">
        <v>45489</v>
      </c>
      <c r="F149" s="111">
        <f t="shared" si="5"/>
        <v>932</v>
      </c>
      <c r="G149" s="9" t="s">
        <v>65</v>
      </c>
      <c r="H149" s="112">
        <v>0</v>
      </c>
      <c r="I149" s="112">
        <v>1</v>
      </c>
      <c r="J149" s="112">
        <v>0</v>
      </c>
      <c r="K149" s="112"/>
      <c r="L149" s="112"/>
      <c r="M149" s="112"/>
      <c r="N149" s="112"/>
      <c r="O149" s="112"/>
      <c r="P149" s="112"/>
      <c r="Q149" s="112"/>
      <c r="R149" s="112"/>
      <c r="S149" s="112">
        <v>1</v>
      </c>
      <c r="T149" s="112"/>
      <c r="U149" s="112"/>
      <c r="V149" s="112"/>
      <c r="W149" s="112">
        <v>0</v>
      </c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>
        <v>1</v>
      </c>
    </row>
    <row r="150" spans="1:34" x14ac:dyDescent="0.25">
      <c r="A150" s="118" t="s">
        <v>494</v>
      </c>
      <c r="B150" s="92" t="s">
        <v>83</v>
      </c>
      <c r="C150" s="93">
        <v>6648143</v>
      </c>
      <c r="D150" s="7">
        <v>44585</v>
      </c>
      <c r="E150" s="110">
        <v>45373</v>
      </c>
      <c r="F150" s="111">
        <f t="shared" si="5"/>
        <v>788</v>
      </c>
      <c r="G150" s="9" t="s">
        <v>65</v>
      </c>
      <c r="H150" s="112">
        <v>0</v>
      </c>
      <c r="I150" s="112">
        <v>1</v>
      </c>
      <c r="J150" s="112">
        <v>0</v>
      </c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>
        <v>0</v>
      </c>
      <c r="X150" s="112"/>
      <c r="Y150" s="112"/>
      <c r="Z150" s="112"/>
      <c r="AA150" s="112"/>
      <c r="AB150" s="112"/>
      <c r="AC150" s="112"/>
      <c r="AD150" s="112"/>
      <c r="AE150" s="112"/>
      <c r="AF150" s="112">
        <v>1</v>
      </c>
      <c r="AG150" s="112">
        <v>1</v>
      </c>
    </row>
    <row r="151" spans="1:34" x14ac:dyDescent="0.25">
      <c r="A151" s="118" t="s">
        <v>431</v>
      </c>
      <c r="B151" s="47" t="s">
        <v>84</v>
      </c>
      <c r="C151" s="93">
        <v>5191378</v>
      </c>
      <c r="D151" s="7">
        <v>44706</v>
      </c>
      <c r="E151" s="110">
        <v>44902</v>
      </c>
      <c r="F151" s="111">
        <f t="shared" si="5"/>
        <v>196</v>
      </c>
      <c r="G151" s="9" t="s">
        <v>65</v>
      </c>
      <c r="H151" s="87">
        <v>1</v>
      </c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</row>
    <row r="152" spans="1:34" x14ac:dyDescent="0.25">
      <c r="A152" s="118" t="s">
        <v>385</v>
      </c>
      <c r="B152" s="91" t="s">
        <v>85</v>
      </c>
      <c r="C152" s="93">
        <v>3501315</v>
      </c>
      <c r="D152" s="15">
        <v>44599</v>
      </c>
      <c r="E152" s="110">
        <v>45350</v>
      </c>
      <c r="F152" s="111">
        <f t="shared" si="5"/>
        <v>751</v>
      </c>
      <c r="G152" s="16" t="s">
        <v>65</v>
      </c>
      <c r="H152" s="112">
        <v>0</v>
      </c>
      <c r="I152" s="112">
        <v>1</v>
      </c>
      <c r="J152" s="112">
        <v>0</v>
      </c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>
        <v>0</v>
      </c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>
        <v>2</v>
      </c>
    </row>
    <row r="153" spans="1:34" x14ac:dyDescent="0.25">
      <c r="A153" s="118" t="s">
        <v>374</v>
      </c>
      <c r="B153" s="91" t="s">
        <v>86</v>
      </c>
      <c r="C153" s="93">
        <v>2742922</v>
      </c>
      <c r="D153" s="7">
        <v>44550</v>
      </c>
      <c r="E153" s="110">
        <v>45496</v>
      </c>
      <c r="F153" s="111">
        <f t="shared" si="5"/>
        <v>946</v>
      </c>
      <c r="G153" s="9" t="s">
        <v>65</v>
      </c>
      <c r="H153" s="112">
        <v>0</v>
      </c>
      <c r="I153" s="112">
        <v>1</v>
      </c>
      <c r="J153" s="112">
        <v>1</v>
      </c>
      <c r="K153" s="112"/>
      <c r="L153" s="112"/>
      <c r="M153" s="112"/>
      <c r="N153" s="112"/>
      <c r="O153" s="112"/>
      <c r="P153" s="112"/>
      <c r="Q153" s="112"/>
      <c r="R153" s="112">
        <v>1</v>
      </c>
      <c r="S153" s="112"/>
      <c r="T153" s="112"/>
      <c r="U153" s="112"/>
      <c r="V153" s="112"/>
      <c r="W153" s="112">
        <v>0</v>
      </c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>
        <v>2</v>
      </c>
    </row>
    <row r="154" spans="1:34" x14ac:dyDescent="0.25">
      <c r="A154" s="118" t="s">
        <v>434</v>
      </c>
      <c r="B154" s="100" t="s">
        <v>87</v>
      </c>
      <c r="C154" s="93">
        <v>5334891</v>
      </c>
      <c r="D154" s="7">
        <v>44607</v>
      </c>
      <c r="E154" s="110">
        <v>45006</v>
      </c>
      <c r="F154" s="111">
        <f t="shared" si="5"/>
        <v>399</v>
      </c>
      <c r="G154" s="9" t="s">
        <v>65</v>
      </c>
      <c r="H154" s="87">
        <v>1</v>
      </c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</row>
    <row r="155" spans="1:34" x14ac:dyDescent="0.25">
      <c r="A155" s="118" t="s">
        <v>352</v>
      </c>
      <c r="B155" s="91" t="s">
        <v>88</v>
      </c>
      <c r="C155" s="93">
        <v>2008227</v>
      </c>
      <c r="D155" s="7">
        <v>44592</v>
      </c>
      <c r="E155" s="110">
        <v>45335</v>
      </c>
      <c r="F155" s="111">
        <f t="shared" si="5"/>
        <v>743</v>
      </c>
      <c r="G155" s="9" t="s">
        <v>65</v>
      </c>
      <c r="H155" s="112">
        <v>0</v>
      </c>
      <c r="I155" s="112">
        <v>1</v>
      </c>
      <c r="J155" s="112">
        <v>0</v>
      </c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>
        <v>0</v>
      </c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</row>
    <row r="156" spans="1:34" x14ac:dyDescent="0.25">
      <c r="A156" s="118" t="s">
        <v>397</v>
      </c>
      <c r="B156" s="91" t="s">
        <v>89</v>
      </c>
      <c r="C156" s="93">
        <v>4012359</v>
      </c>
      <c r="D156" s="7">
        <v>44606</v>
      </c>
      <c r="E156" s="110">
        <v>45370</v>
      </c>
      <c r="F156" s="111">
        <f t="shared" si="5"/>
        <v>764</v>
      </c>
      <c r="G156" s="9" t="s">
        <v>65</v>
      </c>
      <c r="H156" s="112">
        <v>0</v>
      </c>
      <c r="I156" s="112">
        <v>1</v>
      </c>
      <c r="J156" s="112">
        <v>1</v>
      </c>
      <c r="K156" s="112"/>
      <c r="L156" s="112"/>
      <c r="M156" s="112"/>
      <c r="N156" s="112"/>
      <c r="O156" s="112"/>
      <c r="P156" s="112"/>
      <c r="Q156" s="112">
        <v>1</v>
      </c>
      <c r="R156" s="112"/>
      <c r="S156" s="112"/>
      <c r="T156" s="112"/>
      <c r="U156" s="112"/>
      <c r="V156" s="112"/>
      <c r="W156" s="112">
        <v>0</v>
      </c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>
        <v>2</v>
      </c>
    </row>
    <row r="157" spans="1:34" x14ac:dyDescent="0.25">
      <c r="A157" s="118" t="s">
        <v>336</v>
      </c>
      <c r="B157" s="91" t="s">
        <v>90</v>
      </c>
      <c r="C157" s="93">
        <v>1321044</v>
      </c>
      <c r="D157" s="7">
        <v>44596</v>
      </c>
      <c r="E157" s="110">
        <v>45345</v>
      </c>
      <c r="F157" s="111">
        <f t="shared" si="5"/>
        <v>749</v>
      </c>
      <c r="G157" s="9" t="s">
        <v>65</v>
      </c>
      <c r="H157" s="112">
        <v>0</v>
      </c>
      <c r="I157" s="112">
        <v>1</v>
      </c>
      <c r="J157" s="112">
        <v>2</v>
      </c>
      <c r="K157" s="112"/>
      <c r="L157" s="112"/>
      <c r="M157" s="112"/>
      <c r="N157" s="112">
        <v>2</v>
      </c>
      <c r="O157" s="112"/>
      <c r="P157" s="112"/>
      <c r="Q157" s="112"/>
      <c r="R157" s="112"/>
      <c r="S157" s="112"/>
      <c r="T157" s="112"/>
      <c r="U157" s="112"/>
      <c r="V157" s="112"/>
      <c r="W157" s="112">
        <v>0</v>
      </c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>
        <v>2</v>
      </c>
    </row>
    <row r="158" spans="1:34" x14ac:dyDescent="0.25">
      <c r="A158" s="118" t="s">
        <v>432</v>
      </c>
      <c r="B158" s="47" t="s">
        <v>91</v>
      </c>
      <c r="C158" s="93">
        <v>5209809</v>
      </c>
      <c r="D158" s="7">
        <v>44690</v>
      </c>
      <c r="E158" s="110">
        <v>45426</v>
      </c>
      <c r="F158" s="111">
        <f t="shared" si="5"/>
        <v>736</v>
      </c>
      <c r="G158" s="9" t="s">
        <v>65</v>
      </c>
      <c r="H158" s="112">
        <v>0</v>
      </c>
      <c r="I158" s="112">
        <v>1</v>
      </c>
      <c r="J158" s="112">
        <v>0</v>
      </c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>
        <v>0</v>
      </c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>
        <v>1</v>
      </c>
    </row>
    <row r="159" spans="1:34" x14ac:dyDescent="0.25">
      <c r="A159" s="118" t="s">
        <v>457</v>
      </c>
      <c r="B159" s="92" t="s">
        <v>92</v>
      </c>
      <c r="C159" s="137">
        <v>6185167</v>
      </c>
      <c r="D159" s="7">
        <v>44593</v>
      </c>
      <c r="E159" s="110">
        <v>45398</v>
      </c>
      <c r="F159" s="111">
        <f t="shared" si="5"/>
        <v>805</v>
      </c>
      <c r="G159" s="9" t="s">
        <v>65</v>
      </c>
      <c r="H159" s="112">
        <v>0</v>
      </c>
      <c r="I159" s="112">
        <v>1</v>
      </c>
      <c r="J159" s="112">
        <v>1</v>
      </c>
      <c r="K159" s="112"/>
      <c r="L159" s="112"/>
      <c r="M159" s="112"/>
      <c r="N159" s="112">
        <v>0</v>
      </c>
      <c r="O159" s="112"/>
      <c r="P159" s="112"/>
      <c r="Q159" s="112">
        <v>1</v>
      </c>
      <c r="R159" s="112"/>
      <c r="S159" s="112">
        <v>0</v>
      </c>
      <c r="T159" s="112"/>
      <c r="U159" s="112"/>
      <c r="V159" s="112"/>
      <c r="W159" s="112">
        <v>0</v>
      </c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>
        <v>2</v>
      </c>
    </row>
    <row r="160" spans="1:34" x14ac:dyDescent="0.25">
      <c r="A160" s="118" t="s">
        <v>512</v>
      </c>
      <c r="B160" s="92" t="s">
        <v>161</v>
      </c>
      <c r="C160" s="92" t="s">
        <v>162</v>
      </c>
      <c r="D160" s="115">
        <v>44669</v>
      </c>
      <c r="E160" s="115">
        <v>44911</v>
      </c>
      <c r="F160" s="116">
        <f>(E160-D160)</f>
        <v>242</v>
      </c>
      <c r="G160" s="105" t="s">
        <v>148</v>
      </c>
      <c r="H160" s="87">
        <v>1</v>
      </c>
      <c r="I160" s="87">
        <v>1</v>
      </c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 t="s">
        <v>163</v>
      </c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112"/>
    </row>
    <row r="161" spans="1:34" x14ac:dyDescent="0.25">
      <c r="A161" s="118" t="s">
        <v>349</v>
      </c>
      <c r="B161" s="92" t="s">
        <v>94</v>
      </c>
      <c r="C161" s="137">
        <v>1827901</v>
      </c>
      <c r="D161" s="7">
        <v>44630</v>
      </c>
      <c r="E161" s="110">
        <v>45356</v>
      </c>
      <c r="F161" s="111">
        <f>E161-D161</f>
        <v>726</v>
      </c>
      <c r="G161" s="9" t="s">
        <v>65</v>
      </c>
      <c r="H161" s="112">
        <v>0</v>
      </c>
      <c r="I161" s="112">
        <v>1</v>
      </c>
      <c r="J161" s="112">
        <v>0</v>
      </c>
      <c r="K161" s="112"/>
      <c r="L161" s="112"/>
      <c r="M161" s="112"/>
      <c r="N161" s="112"/>
      <c r="O161" s="112"/>
      <c r="P161" s="112"/>
      <c r="Q161" s="112"/>
      <c r="R161" s="112"/>
      <c r="S161" s="112">
        <v>1</v>
      </c>
      <c r="T161" s="112"/>
      <c r="U161" s="112"/>
      <c r="V161" s="112"/>
      <c r="W161" s="112">
        <v>0</v>
      </c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</row>
    <row r="162" spans="1:34" x14ac:dyDescent="0.25">
      <c r="A162" s="118" t="s">
        <v>364</v>
      </c>
      <c r="B162" s="95" t="s">
        <v>95</v>
      </c>
      <c r="C162" s="93">
        <v>2307308</v>
      </c>
      <c r="D162" s="7">
        <v>44641</v>
      </c>
      <c r="E162" s="110">
        <v>44741</v>
      </c>
      <c r="F162" s="111">
        <f>E162-D162</f>
        <v>100</v>
      </c>
      <c r="G162" s="9" t="s">
        <v>65</v>
      </c>
      <c r="H162" s="87">
        <v>1</v>
      </c>
      <c r="I162" s="87">
        <v>1</v>
      </c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</row>
    <row r="163" spans="1:34" x14ac:dyDescent="0.25">
      <c r="A163" s="118" t="s">
        <v>407</v>
      </c>
      <c r="B163" s="95" t="s">
        <v>96</v>
      </c>
      <c r="C163" s="93">
        <v>4270218</v>
      </c>
      <c r="D163" s="7">
        <v>44609</v>
      </c>
      <c r="E163" s="110">
        <v>45363</v>
      </c>
      <c r="F163" s="111">
        <f>E163-D163</f>
        <v>754</v>
      </c>
      <c r="G163" s="9" t="s">
        <v>65</v>
      </c>
      <c r="H163" s="112">
        <v>0</v>
      </c>
      <c r="I163" s="112">
        <v>1</v>
      </c>
      <c r="J163" s="112">
        <v>1</v>
      </c>
      <c r="K163" s="112"/>
      <c r="L163" s="112"/>
      <c r="M163" s="112">
        <v>1</v>
      </c>
      <c r="N163" s="112"/>
      <c r="O163" s="112"/>
      <c r="P163" s="112"/>
      <c r="Q163" s="112"/>
      <c r="R163" s="112"/>
      <c r="S163" s="112"/>
      <c r="T163" s="112"/>
      <c r="U163" s="112"/>
      <c r="V163" s="112"/>
      <c r="W163" s="112">
        <v>0</v>
      </c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>
        <v>2</v>
      </c>
    </row>
    <row r="164" spans="1:34" x14ac:dyDescent="0.25">
      <c r="A164" s="118" t="s">
        <v>381</v>
      </c>
      <c r="B164" s="103" t="s">
        <v>164</v>
      </c>
      <c r="C164" s="93">
        <v>3361340</v>
      </c>
      <c r="D164" s="115">
        <v>44795</v>
      </c>
      <c r="E164" s="115">
        <v>45406</v>
      </c>
      <c r="F164" s="116">
        <f>(E164-D164)</f>
        <v>611</v>
      </c>
      <c r="G164" s="105" t="s">
        <v>148</v>
      </c>
      <c r="H164" s="112">
        <v>0</v>
      </c>
      <c r="I164" s="112">
        <v>1</v>
      </c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</row>
    <row r="165" spans="1:34" x14ac:dyDescent="0.25">
      <c r="A165" s="118" t="s">
        <v>342</v>
      </c>
      <c r="B165" s="92" t="s">
        <v>97</v>
      </c>
      <c r="C165" s="137">
        <v>1650342</v>
      </c>
      <c r="D165" s="7">
        <v>44631</v>
      </c>
      <c r="E165" s="110">
        <v>45373</v>
      </c>
      <c r="F165" s="111">
        <f t="shared" ref="F165:F170" si="6">E165-D165</f>
        <v>742</v>
      </c>
      <c r="G165" s="9" t="s">
        <v>65</v>
      </c>
      <c r="H165" s="112">
        <v>0</v>
      </c>
      <c r="I165" s="112">
        <v>1</v>
      </c>
      <c r="J165" s="112">
        <v>1</v>
      </c>
      <c r="K165" s="112"/>
      <c r="L165" s="112">
        <v>1</v>
      </c>
      <c r="M165" s="112">
        <v>1</v>
      </c>
      <c r="N165" s="112"/>
      <c r="O165" s="112"/>
      <c r="P165" s="112"/>
      <c r="Q165" s="112"/>
      <c r="R165" s="112"/>
      <c r="S165" s="112"/>
      <c r="T165" s="112"/>
      <c r="U165" s="112"/>
      <c r="V165" s="112"/>
      <c r="W165" s="112">
        <v>0</v>
      </c>
      <c r="X165" s="112"/>
      <c r="Y165" s="112"/>
      <c r="Z165" s="112"/>
      <c r="AA165" s="112"/>
      <c r="AB165" s="112"/>
      <c r="AC165" s="112"/>
      <c r="AD165" s="112"/>
      <c r="AE165" s="112"/>
      <c r="AF165" s="112">
        <v>1</v>
      </c>
      <c r="AG165" s="112">
        <v>2</v>
      </c>
    </row>
    <row r="166" spans="1:34" x14ac:dyDescent="0.25">
      <c r="A166" s="118" t="s">
        <v>438</v>
      </c>
      <c r="B166" s="50" t="s">
        <v>98</v>
      </c>
      <c r="C166" s="137">
        <v>5400588</v>
      </c>
      <c r="D166" s="7">
        <v>44620</v>
      </c>
      <c r="E166" s="110">
        <v>45028</v>
      </c>
      <c r="F166" s="111">
        <f t="shared" si="6"/>
        <v>408</v>
      </c>
      <c r="G166" s="9" t="s">
        <v>65</v>
      </c>
      <c r="H166" s="87">
        <v>1</v>
      </c>
      <c r="I166" s="87">
        <v>1</v>
      </c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</row>
    <row r="167" spans="1:34" s="25" customFormat="1" x14ac:dyDescent="0.25">
      <c r="A167" s="118" t="s">
        <v>396</v>
      </c>
      <c r="B167" s="21" t="s">
        <v>188</v>
      </c>
      <c r="C167" s="22">
        <v>3769948</v>
      </c>
      <c r="D167" s="7">
        <v>44256</v>
      </c>
      <c r="E167" s="7">
        <v>45205</v>
      </c>
      <c r="F167" s="68">
        <f t="shared" si="6"/>
        <v>949</v>
      </c>
      <c r="G167" s="24" t="s">
        <v>171</v>
      </c>
      <c r="H167" s="70">
        <v>0</v>
      </c>
      <c r="I167" s="70">
        <v>1</v>
      </c>
      <c r="J167" s="71">
        <v>0</v>
      </c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>
        <v>0</v>
      </c>
      <c r="X167" s="71"/>
      <c r="Y167" s="71"/>
      <c r="Z167" s="71"/>
      <c r="AA167" s="71"/>
      <c r="AB167" s="71"/>
      <c r="AC167" s="112"/>
      <c r="AD167" s="112"/>
      <c r="AE167" s="112"/>
      <c r="AF167" s="71"/>
      <c r="AG167" s="71"/>
      <c r="AH167" s="96"/>
    </row>
    <row r="168" spans="1:34" x14ac:dyDescent="0.25">
      <c r="A168" s="118" t="s">
        <v>396</v>
      </c>
      <c r="B168" s="92" t="s">
        <v>99</v>
      </c>
      <c r="C168" s="137">
        <v>3936017</v>
      </c>
      <c r="D168" s="7">
        <v>44628</v>
      </c>
      <c r="E168" s="110">
        <v>45373</v>
      </c>
      <c r="F168" s="111">
        <f t="shared" si="6"/>
        <v>745</v>
      </c>
      <c r="G168" s="9" t="s">
        <v>65</v>
      </c>
      <c r="H168" s="112">
        <v>0</v>
      </c>
      <c r="I168" s="112">
        <v>1</v>
      </c>
      <c r="J168" s="112">
        <v>1</v>
      </c>
      <c r="K168" s="112"/>
      <c r="L168" s="112"/>
      <c r="M168" s="112"/>
      <c r="N168" s="112"/>
      <c r="O168" s="112"/>
      <c r="P168" s="112"/>
      <c r="Q168" s="112">
        <v>1</v>
      </c>
      <c r="R168" s="112"/>
      <c r="S168" s="112"/>
      <c r="T168" s="112"/>
      <c r="U168" s="112"/>
      <c r="V168" s="112"/>
      <c r="W168" s="112">
        <v>0</v>
      </c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>
        <v>2</v>
      </c>
    </row>
    <row r="169" spans="1:34" x14ac:dyDescent="0.25">
      <c r="A169" s="118" t="s">
        <v>329</v>
      </c>
      <c r="B169" s="92" t="s">
        <v>100</v>
      </c>
      <c r="C169" s="137">
        <v>1022690</v>
      </c>
      <c r="D169" s="7">
        <v>44606</v>
      </c>
      <c r="E169" s="110">
        <v>45358</v>
      </c>
      <c r="F169" s="111">
        <f t="shared" si="6"/>
        <v>752</v>
      </c>
      <c r="G169" s="9" t="s">
        <v>65</v>
      </c>
      <c r="H169" s="112">
        <v>0</v>
      </c>
      <c r="I169" s="112">
        <v>1</v>
      </c>
      <c r="J169" s="112">
        <v>0</v>
      </c>
      <c r="K169" s="112"/>
      <c r="L169" s="112"/>
      <c r="M169" s="112"/>
      <c r="N169" s="112"/>
      <c r="O169" s="112"/>
      <c r="P169" s="112"/>
      <c r="Q169" s="112">
        <v>1</v>
      </c>
      <c r="R169" s="112"/>
      <c r="S169" s="112"/>
      <c r="T169" s="112"/>
      <c r="U169" s="112"/>
      <c r="V169" s="112"/>
      <c r="W169" s="112">
        <v>0</v>
      </c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>
        <v>2</v>
      </c>
    </row>
    <row r="170" spans="1:34" x14ac:dyDescent="0.25">
      <c r="A170" s="118" t="s">
        <v>333</v>
      </c>
      <c r="B170" s="92" t="s">
        <v>101</v>
      </c>
      <c r="C170" s="137">
        <v>1248363</v>
      </c>
      <c r="D170" s="7">
        <v>44652</v>
      </c>
      <c r="E170" s="110">
        <v>45266</v>
      </c>
      <c r="F170" s="111">
        <f t="shared" si="6"/>
        <v>614</v>
      </c>
      <c r="G170" s="9" t="s">
        <v>65</v>
      </c>
      <c r="H170" s="87">
        <v>1</v>
      </c>
      <c r="I170" s="87">
        <v>1</v>
      </c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 t="s">
        <v>102</v>
      </c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</row>
    <row r="171" spans="1:34" x14ac:dyDescent="0.25">
      <c r="A171" s="118" t="s">
        <v>513</v>
      </c>
      <c r="B171" s="92" t="s">
        <v>165</v>
      </c>
      <c r="C171" s="92" t="s">
        <v>166</v>
      </c>
      <c r="D171" s="115">
        <v>44615</v>
      </c>
      <c r="E171" s="115">
        <v>45385</v>
      </c>
      <c r="F171" s="116">
        <f>(E171-D171)</f>
        <v>770</v>
      </c>
      <c r="G171" s="105" t="s">
        <v>148</v>
      </c>
      <c r="H171" s="112">
        <v>0</v>
      </c>
      <c r="I171" s="112">
        <v>1</v>
      </c>
      <c r="J171" s="112">
        <v>0</v>
      </c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>
        <v>0</v>
      </c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</row>
    <row r="172" spans="1:34" x14ac:dyDescent="0.25">
      <c r="A172" s="118" t="s">
        <v>491</v>
      </c>
      <c r="B172" s="91" t="s">
        <v>103</v>
      </c>
      <c r="C172" s="93">
        <v>6594458</v>
      </c>
      <c r="D172" s="7">
        <v>44652</v>
      </c>
      <c r="E172" s="110">
        <v>45090</v>
      </c>
      <c r="F172" s="111">
        <f t="shared" ref="F172:F177" si="7">E172-D172</f>
        <v>438</v>
      </c>
      <c r="G172" s="9" t="s">
        <v>65</v>
      </c>
      <c r="H172" s="87">
        <v>1</v>
      </c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</row>
    <row r="173" spans="1:34" x14ac:dyDescent="0.25">
      <c r="A173" s="118" t="s">
        <v>363</v>
      </c>
      <c r="B173" s="91" t="s">
        <v>104</v>
      </c>
      <c r="C173" s="93">
        <v>2293334</v>
      </c>
      <c r="D173" s="7">
        <v>44615</v>
      </c>
      <c r="E173" s="110">
        <v>45224</v>
      </c>
      <c r="F173" s="111">
        <f t="shared" si="7"/>
        <v>609</v>
      </c>
      <c r="G173" s="9" t="s">
        <v>65</v>
      </c>
      <c r="H173" s="87">
        <v>1</v>
      </c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</row>
    <row r="174" spans="1:34" x14ac:dyDescent="0.25">
      <c r="A174" s="118" t="s">
        <v>492</v>
      </c>
      <c r="B174" s="92" t="s">
        <v>105</v>
      </c>
      <c r="C174" s="137">
        <v>6600811</v>
      </c>
      <c r="D174" s="7">
        <v>44629</v>
      </c>
      <c r="E174" s="110">
        <v>45373</v>
      </c>
      <c r="F174" s="111">
        <f t="shared" si="7"/>
        <v>744</v>
      </c>
      <c r="G174" s="9" t="s">
        <v>65</v>
      </c>
      <c r="H174" s="112">
        <v>0</v>
      </c>
      <c r="I174" s="112">
        <v>1</v>
      </c>
      <c r="J174" s="112">
        <v>0</v>
      </c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>
        <v>0</v>
      </c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</row>
    <row r="175" spans="1:34" x14ac:dyDescent="0.25">
      <c r="A175" s="118" t="s">
        <v>400</v>
      </c>
      <c r="B175" s="92" t="s">
        <v>106</v>
      </c>
      <c r="C175" s="137">
        <v>4146544</v>
      </c>
      <c r="D175" s="7">
        <v>44680</v>
      </c>
      <c r="E175" s="110">
        <v>45058</v>
      </c>
      <c r="F175" s="111">
        <f t="shared" si="7"/>
        <v>378</v>
      </c>
      <c r="G175" s="9" t="s">
        <v>65</v>
      </c>
      <c r="H175" s="87">
        <v>1</v>
      </c>
      <c r="I175" s="87">
        <v>1</v>
      </c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</row>
    <row r="176" spans="1:34" x14ac:dyDescent="0.25">
      <c r="A176" s="118" t="s">
        <v>386</v>
      </c>
      <c r="B176" s="92" t="s">
        <v>107</v>
      </c>
      <c r="C176" s="137">
        <v>3501458</v>
      </c>
      <c r="D176" s="7">
        <v>44641</v>
      </c>
      <c r="E176" s="110">
        <v>45419</v>
      </c>
      <c r="F176" s="111">
        <f t="shared" si="7"/>
        <v>778</v>
      </c>
      <c r="G176" s="9" t="s">
        <v>65</v>
      </c>
      <c r="H176" s="112">
        <v>0</v>
      </c>
      <c r="I176" s="112">
        <v>1</v>
      </c>
      <c r="J176" s="112">
        <v>1</v>
      </c>
      <c r="K176" s="112"/>
      <c r="L176" s="112"/>
      <c r="M176" s="112">
        <v>1</v>
      </c>
      <c r="N176" s="112"/>
      <c r="O176" s="112"/>
      <c r="P176" s="112"/>
      <c r="Q176" s="112"/>
      <c r="R176" s="112"/>
      <c r="S176" s="112"/>
      <c r="T176" s="112"/>
      <c r="U176" s="112"/>
      <c r="V176" s="112"/>
      <c r="W176" s="112">
        <v>0</v>
      </c>
      <c r="X176" s="112"/>
      <c r="Y176" s="112"/>
      <c r="Z176" s="112"/>
      <c r="AA176" s="112"/>
      <c r="AB176" s="112"/>
      <c r="AC176" s="112"/>
      <c r="AD176" s="112"/>
      <c r="AE176" s="112"/>
      <c r="AF176" s="112">
        <v>1</v>
      </c>
      <c r="AG176" s="112">
        <v>2</v>
      </c>
    </row>
    <row r="177" spans="1:34" s="114" customFormat="1" x14ac:dyDescent="0.25">
      <c r="A177" s="118" t="s">
        <v>423</v>
      </c>
      <c r="B177" s="92" t="s">
        <v>108</v>
      </c>
      <c r="C177" s="137">
        <v>4886388</v>
      </c>
      <c r="D177" s="7">
        <v>44636</v>
      </c>
      <c r="E177" s="110">
        <v>45349</v>
      </c>
      <c r="F177" s="111">
        <f t="shared" si="7"/>
        <v>713</v>
      </c>
      <c r="G177" s="9" t="s">
        <v>65</v>
      </c>
      <c r="H177" s="112">
        <v>0</v>
      </c>
      <c r="I177" s="112">
        <v>1</v>
      </c>
      <c r="J177" s="112">
        <v>0</v>
      </c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>
        <v>0</v>
      </c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>
        <v>2</v>
      </c>
      <c r="AH177" s="96"/>
    </row>
    <row r="178" spans="1:34" x14ac:dyDescent="0.25">
      <c r="A178" s="118" t="s">
        <v>459</v>
      </c>
      <c r="B178" s="93" t="s">
        <v>169</v>
      </c>
      <c r="C178" s="93">
        <v>6229308</v>
      </c>
      <c r="D178" s="115">
        <v>44651</v>
      </c>
      <c r="E178" s="115">
        <v>45330</v>
      </c>
      <c r="F178" s="116">
        <f>(E178-D178)</f>
        <v>679</v>
      </c>
      <c r="G178" s="105" t="s">
        <v>141</v>
      </c>
      <c r="H178" s="87">
        <v>1</v>
      </c>
      <c r="I178" s="87">
        <v>1</v>
      </c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 t="s">
        <v>170</v>
      </c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112"/>
    </row>
    <row r="179" spans="1:34" x14ac:dyDescent="0.25">
      <c r="A179" s="118" t="s">
        <v>430</v>
      </c>
      <c r="B179" s="92" t="s">
        <v>109</v>
      </c>
      <c r="C179" s="137">
        <v>5174479</v>
      </c>
      <c r="D179" s="7">
        <v>44683</v>
      </c>
      <c r="E179" s="110">
        <v>45449</v>
      </c>
      <c r="F179" s="111">
        <f t="shared" ref="F179:F184" si="8">E179-D179</f>
        <v>766</v>
      </c>
      <c r="G179" s="9" t="s">
        <v>65</v>
      </c>
      <c r="H179" s="112">
        <v>0</v>
      </c>
      <c r="I179" s="112">
        <v>1</v>
      </c>
      <c r="J179" s="112">
        <v>1</v>
      </c>
      <c r="K179" s="112"/>
      <c r="L179" s="112"/>
      <c r="M179" s="112">
        <v>1</v>
      </c>
      <c r="N179" s="112"/>
      <c r="O179" s="112"/>
      <c r="P179" s="112"/>
      <c r="Q179" s="112"/>
      <c r="R179" s="112"/>
      <c r="S179" s="112"/>
      <c r="T179" s="112"/>
      <c r="U179" s="112"/>
      <c r="V179" s="112"/>
      <c r="W179" s="112">
        <v>0</v>
      </c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>
        <v>1</v>
      </c>
    </row>
    <row r="180" spans="1:34" x14ac:dyDescent="0.25">
      <c r="A180" s="118" t="s">
        <v>451</v>
      </c>
      <c r="B180" s="92" t="s">
        <v>110</v>
      </c>
      <c r="C180" s="137">
        <v>5877147</v>
      </c>
      <c r="D180" s="7">
        <v>44642</v>
      </c>
      <c r="E180" s="110">
        <v>45406</v>
      </c>
      <c r="F180" s="111">
        <f t="shared" si="8"/>
        <v>764</v>
      </c>
      <c r="G180" s="9" t="s">
        <v>65</v>
      </c>
      <c r="H180" s="112">
        <v>0</v>
      </c>
      <c r="I180" s="112">
        <v>1</v>
      </c>
      <c r="J180" s="112">
        <v>0</v>
      </c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>
        <v>0</v>
      </c>
      <c r="X180" s="112"/>
      <c r="Y180" s="112"/>
      <c r="Z180" s="112"/>
      <c r="AA180" s="112"/>
      <c r="AB180" s="112"/>
      <c r="AC180" s="112"/>
      <c r="AD180" s="112"/>
      <c r="AE180" s="112"/>
      <c r="AF180" s="112">
        <v>1</v>
      </c>
      <c r="AG180" s="112">
        <v>2</v>
      </c>
    </row>
    <row r="181" spans="1:34" s="114" customFormat="1" x14ac:dyDescent="0.25">
      <c r="A181" s="118" t="s">
        <v>326</v>
      </c>
      <c r="B181" s="91" t="s">
        <v>111</v>
      </c>
      <c r="C181" s="49">
        <v>950828</v>
      </c>
      <c r="D181" s="7">
        <v>44666</v>
      </c>
      <c r="E181" s="110">
        <v>44985</v>
      </c>
      <c r="F181" s="111">
        <f t="shared" si="8"/>
        <v>319</v>
      </c>
      <c r="G181" s="9" t="s">
        <v>65</v>
      </c>
      <c r="H181" s="87">
        <v>1</v>
      </c>
      <c r="I181" s="87">
        <v>1</v>
      </c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96"/>
    </row>
    <row r="182" spans="1:34" x14ac:dyDescent="0.25">
      <c r="A182" s="118" t="s">
        <v>327</v>
      </c>
      <c r="B182" s="91" t="s">
        <v>112</v>
      </c>
      <c r="C182" s="49">
        <v>957141</v>
      </c>
      <c r="D182" s="7">
        <v>44810</v>
      </c>
      <c r="E182" s="110">
        <v>45378</v>
      </c>
      <c r="F182" s="111">
        <f t="shared" si="8"/>
        <v>568</v>
      </c>
      <c r="G182" s="9" t="s">
        <v>65</v>
      </c>
      <c r="H182" s="87">
        <v>0</v>
      </c>
      <c r="I182" s="87">
        <v>1</v>
      </c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</row>
    <row r="183" spans="1:34" x14ac:dyDescent="0.25">
      <c r="A183" s="118" t="s">
        <v>399</v>
      </c>
      <c r="B183" s="50" t="s">
        <v>113</v>
      </c>
      <c r="C183" s="137">
        <v>4080425</v>
      </c>
      <c r="D183" s="7">
        <v>44673</v>
      </c>
      <c r="E183" s="110">
        <v>45216</v>
      </c>
      <c r="F183" s="111">
        <f t="shared" si="8"/>
        <v>543</v>
      </c>
      <c r="G183" s="9" t="s">
        <v>65</v>
      </c>
      <c r="H183" s="87">
        <v>1</v>
      </c>
      <c r="I183" s="87">
        <v>1</v>
      </c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</row>
    <row r="184" spans="1:34" x14ac:dyDescent="0.25">
      <c r="A184" s="118" t="s">
        <v>498</v>
      </c>
      <c r="B184" s="92" t="s">
        <v>114</v>
      </c>
      <c r="C184" s="137">
        <v>6722604</v>
      </c>
      <c r="D184" s="7">
        <v>44665</v>
      </c>
      <c r="E184" s="110">
        <v>45447</v>
      </c>
      <c r="F184" s="111">
        <f t="shared" si="8"/>
        <v>782</v>
      </c>
      <c r="G184" s="9" t="s">
        <v>65</v>
      </c>
      <c r="H184" s="112">
        <v>0</v>
      </c>
      <c r="I184" s="112">
        <v>1</v>
      </c>
      <c r="J184" s="112">
        <v>0</v>
      </c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>
        <v>0</v>
      </c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</row>
    <row r="185" spans="1:34" x14ac:dyDescent="0.25">
      <c r="A185" s="118" t="s">
        <v>452</v>
      </c>
      <c r="B185" s="93" t="s">
        <v>167</v>
      </c>
      <c r="C185" s="93">
        <v>5882236</v>
      </c>
      <c r="D185" s="115">
        <v>44669</v>
      </c>
      <c r="E185" s="115">
        <v>45443</v>
      </c>
      <c r="F185" s="116">
        <f>(E185-D185)</f>
        <v>774</v>
      </c>
      <c r="G185" s="105" t="s">
        <v>148</v>
      </c>
      <c r="H185" s="112">
        <v>0</v>
      </c>
      <c r="I185" s="112">
        <v>1</v>
      </c>
      <c r="J185" s="112">
        <v>1</v>
      </c>
      <c r="K185" s="112"/>
      <c r="L185" s="112">
        <v>1</v>
      </c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>
        <v>0</v>
      </c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</row>
    <row r="186" spans="1:34" x14ac:dyDescent="0.25">
      <c r="A186" s="118" t="s">
        <v>496</v>
      </c>
      <c r="B186" s="93" t="s">
        <v>168</v>
      </c>
      <c r="C186" s="93">
        <v>6666857</v>
      </c>
      <c r="D186" s="115">
        <v>44656</v>
      </c>
      <c r="E186" s="115">
        <v>45420</v>
      </c>
      <c r="F186" s="116">
        <f>(E186-D186)</f>
        <v>764</v>
      </c>
      <c r="G186" s="105" t="s">
        <v>148</v>
      </c>
      <c r="H186" s="112">
        <v>0</v>
      </c>
      <c r="I186" s="112">
        <v>1</v>
      </c>
      <c r="J186" s="112">
        <v>1</v>
      </c>
      <c r="K186" s="112"/>
      <c r="L186" s="112"/>
      <c r="M186" s="112"/>
      <c r="N186" s="112">
        <v>1</v>
      </c>
      <c r="O186" s="112"/>
      <c r="P186" s="112"/>
      <c r="Q186" s="112">
        <v>1</v>
      </c>
      <c r="R186" s="112"/>
      <c r="S186" s="112">
        <v>1</v>
      </c>
      <c r="T186" s="112"/>
      <c r="U186" s="112"/>
      <c r="V186" s="112"/>
      <c r="W186" s="112">
        <v>1</v>
      </c>
      <c r="X186" s="112"/>
      <c r="Y186" s="112">
        <v>1</v>
      </c>
      <c r="Z186" s="112">
        <v>1</v>
      </c>
      <c r="AA186" s="112"/>
      <c r="AB186" s="112"/>
      <c r="AC186" s="112"/>
      <c r="AD186" s="112"/>
      <c r="AE186" s="112"/>
      <c r="AF186" s="112"/>
      <c r="AG186" s="112"/>
      <c r="AH186" s="112"/>
    </row>
    <row r="187" spans="1:34" x14ac:dyDescent="0.25">
      <c r="A187" s="118" t="s">
        <v>468</v>
      </c>
      <c r="B187" s="91" t="s">
        <v>115</v>
      </c>
      <c r="C187" s="93">
        <v>6344639</v>
      </c>
      <c r="D187" s="7">
        <v>44655</v>
      </c>
      <c r="E187" s="110">
        <v>45405</v>
      </c>
      <c r="F187" s="111">
        <f t="shared" ref="F187:F209" si="9">E187-D187</f>
        <v>750</v>
      </c>
      <c r="G187" s="9" t="s">
        <v>65</v>
      </c>
      <c r="H187" s="112">
        <v>0</v>
      </c>
      <c r="I187" s="112">
        <v>1</v>
      </c>
      <c r="J187" s="112">
        <v>0</v>
      </c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>
        <v>0</v>
      </c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>
        <v>2</v>
      </c>
    </row>
    <row r="188" spans="1:34" x14ac:dyDescent="0.25">
      <c r="A188" s="118" t="s">
        <v>339</v>
      </c>
      <c r="B188" s="47" t="s">
        <v>116</v>
      </c>
      <c r="C188" s="93">
        <v>1508796</v>
      </c>
      <c r="D188" s="7">
        <v>44778</v>
      </c>
      <c r="E188" s="110">
        <v>45359</v>
      </c>
      <c r="F188" s="111">
        <f t="shared" si="9"/>
        <v>581</v>
      </c>
      <c r="G188" s="9" t="s">
        <v>65</v>
      </c>
      <c r="H188" s="87">
        <v>1</v>
      </c>
      <c r="I188" s="87">
        <v>1</v>
      </c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</row>
    <row r="189" spans="1:34" x14ac:dyDescent="0.25">
      <c r="A189" s="118" t="s">
        <v>337</v>
      </c>
      <c r="B189" s="92" t="s">
        <v>117</v>
      </c>
      <c r="C189" s="137">
        <v>1429898</v>
      </c>
      <c r="D189" s="7">
        <v>44664</v>
      </c>
      <c r="E189" s="110">
        <v>45405</v>
      </c>
      <c r="F189" s="111">
        <f t="shared" si="9"/>
        <v>741</v>
      </c>
      <c r="G189" s="9" t="s">
        <v>65</v>
      </c>
      <c r="H189" s="112">
        <v>0</v>
      </c>
      <c r="I189" s="112">
        <v>1</v>
      </c>
      <c r="J189" s="112">
        <v>0</v>
      </c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>
        <v>0</v>
      </c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</row>
    <row r="190" spans="1:34" x14ac:dyDescent="0.25">
      <c r="A190" s="118" t="s">
        <v>391</v>
      </c>
      <c r="B190" s="91" t="s">
        <v>118</v>
      </c>
      <c r="C190" s="93">
        <v>3621453</v>
      </c>
      <c r="D190" s="7">
        <v>44669</v>
      </c>
      <c r="E190" s="110">
        <v>45414</v>
      </c>
      <c r="F190" s="111">
        <f t="shared" si="9"/>
        <v>745</v>
      </c>
      <c r="G190" s="9" t="s">
        <v>65</v>
      </c>
      <c r="H190" s="112">
        <v>0</v>
      </c>
      <c r="I190" s="112">
        <v>1</v>
      </c>
      <c r="J190" s="112">
        <v>1</v>
      </c>
      <c r="K190" s="112"/>
      <c r="L190" s="112"/>
      <c r="M190" s="112"/>
      <c r="N190" s="112">
        <v>1</v>
      </c>
      <c r="O190" s="112"/>
      <c r="P190" s="112"/>
      <c r="Q190" s="112">
        <v>1</v>
      </c>
      <c r="R190" s="112"/>
      <c r="S190" s="112"/>
      <c r="T190" s="112"/>
      <c r="U190" s="112"/>
      <c r="V190" s="112"/>
      <c r="W190" s="112">
        <v>0</v>
      </c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</row>
    <row r="191" spans="1:34" x14ac:dyDescent="0.25">
      <c r="A191" s="118" t="s">
        <v>418</v>
      </c>
      <c r="B191" s="47" t="s">
        <v>119</v>
      </c>
      <c r="C191" s="93">
        <v>4784733</v>
      </c>
      <c r="D191" s="7">
        <v>44778</v>
      </c>
      <c r="E191" s="110">
        <v>45348</v>
      </c>
      <c r="F191" s="111">
        <f t="shared" si="9"/>
        <v>570</v>
      </c>
      <c r="G191" s="9" t="s">
        <v>65</v>
      </c>
      <c r="H191" s="87">
        <v>1</v>
      </c>
      <c r="I191" s="87">
        <v>1</v>
      </c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</row>
    <row r="192" spans="1:34" x14ac:dyDescent="0.25">
      <c r="A192" s="118" t="s">
        <v>497</v>
      </c>
      <c r="B192" s="47" t="s">
        <v>120</v>
      </c>
      <c r="C192" s="93">
        <v>6673787</v>
      </c>
      <c r="D192" s="7">
        <v>44712</v>
      </c>
      <c r="E192" s="110">
        <v>45323</v>
      </c>
      <c r="F192" s="111">
        <f t="shared" si="9"/>
        <v>611</v>
      </c>
      <c r="G192" s="9" t="s">
        <v>65</v>
      </c>
      <c r="H192" s="87">
        <v>1</v>
      </c>
      <c r="I192" s="87">
        <v>1</v>
      </c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</row>
    <row r="193" spans="1:34" x14ac:dyDescent="0.25">
      <c r="A193" s="118" t="s">
        <v>499</v>
      </c>
      <c r="B193" s="47" t="s">
        <v>121</v>
      </c>
      <c r="C193" s="93">
        <v>6731240</v>
      </c>
      <c r="D193" s="7">
        <v>44683</v>
      </c>
      <c r="E193" s="110">
        <v>45434</v>
      </c>
      <c r="F193" s="111">
        <f t="shared" si="9"/>
        <v>751</v>
      </c>
      <c r="G193" s="9" t="s">
        <v>65</v>
      </c>
      <c r="H193" s="112">
        <v>0</v>
      </c>
      <c r="I193" s="112">
        <v>1</v>
      </c>
      <c r="J193" s="112">
        <v>1</v>
      </c>
      <c r="K193" s="112"/>
      <c r="L193" s="112"/>
      <c r="M193" s="112"/>
      <c r="N193" s="112">
        <v>1</v>
      </c>
      <c r="O193" s="112"/>
      <c r="P193" s="112"/>
      <c r="Q193" s="112"/>
      <c r="R193" s="112"/>
      <c r="S193" s="112"/>
      <c r="T193" s="112"/>
      <c r="U193" s="112"/>
      <c r="V193" s="112"/>
      <c r="W193" s="112">
        <v>0</v>
      </c>
      <c r="X193" s="112"/>
      <c r="Y193" s="112"/>
      <c r="Z193" s="112"/>
      <c r="AA193" s="112"/>
      <c r="AB193" s="112"/>
      <c r="AC193" s="112"/>
      <c r="AD193" s="112"/>
      <c r="AE193" s="112"/>
      <c r="AF193" s="112">
        <v>1</v>
      </c>
      <c r="AG193" s="112">
        <v>2</v>
      </c>
    </row>
    <row r="194" spans="1:34" x14ac:dyDescent="0.25">
      <c r="A194" s="118" t="s">
        <v>360</v>
      </c>
      <c r="B194" s="47" t="s">
        <v>122</v>
      </c>
      <c r="C194" s="93">
        <v>2223185</v>
      </c>
      <c r="D194" s="7">
        <v>44715</v>
      </c>
      <c r="E194" s="110">
        <v>44916</v>
      </c>
      <c r="F194" s="111">
        <f t="shared" si="9"/>
        <v>201</v>
      </c>
      <c r="G194" s="9" t="s">
        <v>65</v>
      </c>
      <c r="H194" s="87">
        <v>1</v>
      </c>
      <c r="I194" s="87">
        <v>1</v>
      </c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</row>
    <row r="195" spans="1:34" x14ac:dyDescent="0.25">
      <c r="A195" s="118" t="s">
        <v>500</v>
      </c>
      <c r="B195" s="92" t="s">
        <v>123</v>
      </c>
      <c r="C195" s="137">
        <v>6737247</v>
      </c>
      <c r="D195" s="7">
        <v>44683</v>
      </c>
      <c r="E195" s="110">
        <v>45440</v>
      </c>
      <c r="F195" s="111">
        <f t="shared" si="9"/>
        <v>757</v>
      </c>
      <c r="G195" s="9" t="s">
        <v>65</v>
      </c>
      <c r="H195" s="112">
        <v>0</v>
      </c>
      <c r="I195" s="112">
        <v>1</v>
      </c>
      <c r="J195" s="112">
        <v>1</v>
      </c>
      <c r="K195" s="112"/>
      <c r="L195" s="112">
        <v>1</v>
      </c>
      <c r="M195" s="112">
        <v>1</v>
      </c>
      <c r="N195" s="112"/>
      <c r="O195" s="112"/>
      <c r="P195" s="112"/>
      <c r="Q195" s="112"/>
      <c r="R195" s="112"/>
      <c r="S195" s="112">
        <v>1</v>
      </c>
      <c r="T195" s="112"/>
      <c r="U195" s="112"/>
      <c r="V195" s="112"/>
      <c r="W195" s="112">
        <v>0</v>
      </c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>
        <v>1</v>
      </c>
    </row>
    <row r="196" spans="1:34" x14ac:dyDescent="0.25">
      <c r="A196" s="118" t="s">
        <v>411</v>
      </c>
      <c r="B196" s="50" t="s">
        <v>124</v>
      </c>
      <c r="C196" s="137">
        <v>4527386</v>
      </c>
      <c r="D196" s="7">
        <v>44869</v>
      </c>
      <c r="E196" s="110">
        <v>45433</v>
      </c>
      <c r="F196" s="111">
        <f t="shared" si="9"/>
        <v>564</v>
      </c>
      <c r="G196" s="9" t="s">
        <v>65</v>
      </c>
      <c r="H196" s="112">
        <v>0</v>
      </c>
      <c r="I196" s="112">
        <v>1</v>
      </c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</row>
    <row r="197" spans="1:34" s="25" customFormat="1" x14ac:dyDescent="0.25">
      <c r="A197" s="118" t="s">
        <v>419</v>
      </c>
      <c r="B197" s="92" t="s">
        <v>125</v>
      </c>
      <c r="C197" s="137">
        <v>4800599</v>
      </c>
      <c r="D197" s="7">
        <v>44701</v>
      </c>
      <c r="E197" s="110">
        <v>45450</v>
      </c>
      <c r="F197" s="111">
        <f t="shared" si="9"/>
        <v>749</v>
      </c>
      <c r="G197" s="9" t="s">
        <v>65</v>
      </c>
      <c r="H197" s="112">
        <v>0</v>
      </c>
      <c r="I197" s="112">
        <v>1</v>
      </c>
      <c r="J197" s="112">
        <v>1</v>
      </c>
      <c r="K197" s="112"/>
      <c r="L197" s="112"/>
      <c r="M197" s="112">
        <v>1</v>
      </c>
      <c r="N197" s="112">
        <v>1</v>
      </c>
      <c r="O197" s="112"/>
      <c r="P197" s="112"/>
      <c r="Q197" s="112">
        <v>1</v>
      </c>
      <c r="R197" s="112"/>
      <c r="S197" s="112"/>
      <c r="T197" s="112"/>
      <c r="U197" s="112"/>
      <c r="V197" s="112"/>
      <c r="W197" s="112">
        <v>0</v>
      </c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>
        <v>2</v>
      </c>
      <c r="AH197" s="96"/>
    </row>
    <row r="198" spans="1:34" s="25" customFormat="1" x14ac:dyDescent="0.25">
      <c r="A198" s="118" t="s">
        <v>465</v>
      </c>
      <c r="B198" s="92" t="s">
        <v>126</v>
      </c>
      <c r="C198" s="137">
        <v>6324630</v>
      </c>
      <c r="D198" s="15">
        <v>44713</v>
      </c>
      <c r="E198" s="110">
        <v>45371</v>
      </c>
      <c r="F198" s="111">
        <f t="shared" si="9"/>
        <v>658</v>
      </c>
      <c r="G198" s="16" t="s">
        <v>65</v>
      </c>
      <c r="H198" s="87">
        <v>1</v>
      </c>
      <c r="I198" s="87">
        <v>1</v>
      </c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96"/>
    </row>
    <row r="199" spans="1:34" s="25" customFormat="1" x14ac:dyDescent="0.25">
      <c r="A199" s="118" t="s">
        <v>405</v>
      </c>
      <c r="B199" s="91" t="s">
        <v>127</v>
      </c>
      <c r="C199" s="137">
        <v>4196956</v>
      </c>
      <c r="D199" s="7">
        <v>44697</v>
      </c>
      <c r="E199" s="110">
        <v>45455</v>
      </c>
      <c r="F199" s="111">
        <f t="shared" si="9"/>
        <v>758</v>
      </c>
      <c r="G199" s="9" t="s">
        <v>65</v>
      </c>
      <c r="H199" s="112">
        <v>0</v>
      </c>
      <c r="I199" s="112">
        <v>1</v>
      </c>
      <c r="J199" s="112">
        <v>0</v>
      </c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>
        <v>1</v>
      </c>
      <c r="X199" s="112"/>
      <c r="Y199" s="112"/>
      <c r="Z199" s="112"/>
      <c r="AA199" s="112"/>
      <c r="AB199" s="112"/>
      <c r="AC199" s="112"/>
      <c r="AD199" s="112">
        <v>1</v>
      </c>
      <c r="AE199" s="112"/>
      <c r="AF199" s="112"/>
      <c r="AG199" s="112">
        <v>1</v>
      </c>
      <c r="AH199" s="96"/>
    </row>
    <row r="200" spans="1:34" s="25" customFormat="1" x14ac:dyDescent="0.25">
      <c r="A200" s="118" t="s">
        <v>383</v>
      </c>
      <c r="B200" s="95" t="s">
        <v>128</v>
      </c>
      <c r="C200" s="137">
        <v>3439354</v>
      </c>
      <c r="D200" s="7">
        <v>44694</v>
      </c>
      <c r="E200" s="110">
        <v>45420</v>
      </c>
      <c r="F200" s="111">
        <f t="shared" si="9"/>
        <v>726</v>
      </c>
      <c r="G200" s="9" t="s">
        <v>65</v>
      </c>
      <c r="H200" s="112">
        <v>0</v>
      </c>
      <c r="I200" s="112">
        <v>1</v>
      </c>
      <c r="J200" s="112">
        <v>0</v>
      </c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>
        <v>0</v>
      </c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96"/>
    </row>
    <row r="201" spans="1:34" s="25" customFormat="1" x14ac:dyDescent="0.25">
      <c r="A201" s="118" t="s">
        <v>341</v>
      </c>
      <c r="B201" s="92" t="s">
        <v>129</v>
      </c>
      <c r="C201" s="137">
        <v>1599183</v>
      </c>
      <c r="D201" s="7">
        <v>44698</v>
      </c>
      <c r="E201" s="110">
        <v>45448</v>
      </c>
      <c r="F201" s="111">
        <f t="shared" si="9"/>
        <v>750</v>
      </c>
      <c r="G201" s="9" t="s">
        <v>65</v>
      </c>
      <c r="H201" s="112">
        <v>0</v>
      </c>
      <c r="I201" s="112">
        <v>1</v>
      </c>
      <c r="J201" s="112">
        <v>2</v>
      </c>
      <c r="K201" s="112"/>
      <c r="L201" s="112"/>
      <c r="M201" s="112">
        <v>1</v>
      </c>
      <c r="N201" s="112"/>
      <c r="O201" s="112">
        <v>2</v>
      </c>
      <c r="P201" s="112"/>
      <c r="Q201" s="112">
        <v>1</v>
      </c>
      <c r="R201" s="112">
        <v>1</v>
      </c>
      <c r="S201" s="112"/>
      <c r="T201" s="112"/>
      <c r="U201" s="112"/>
      <c r="V201" s="112"/>
      <c r="W201" s="112">
        <v>0</v>
      </c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96"/>
    </row>
    <row r="202" spans="1:34" s="25" customFormat="1" x14ac:dyDescent="0.25">
      <c r="A202" s="118" t="s">
        <v>502</v>
      </c>
      <c r="B202" s="47" t="s">
        <v>130</v>
      </c>
      <c r="C202" s="93">
        <v>6744097</v>
      </c>
      <c r="D202" s="7">
        <v>44705</v>
      </c>
      <c r="E202" s="110">
        <v>45468</v>
      </c>
      <c r="F202" s="111">
        <f t="shared" si="9"/>
        <v>763</v>
      </c>
      <c r="G202" s="9" t="s">
        <v>65</v>
      </c>
      <c r="H202" s="112">
        <v>0</v>
      </c>
      <c r="I202" s="112">
        <v>1</v>
      </c>
      <c r="J202" s="112">
        <v>0</v>
      </c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>
        <v>0</v>
      </c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>
        <v>2</v>
      </c>
      <c r="AH202" s="96"/>
    </row>
    <row r="203" spans="1:34" s="25" customFormat="1" x14ac:dyDescent="0.25">
      <c r="A203" s="118" t="s">
        <v>503</v>
      </c>
      <c r="B203" s="91" t="s">
        <v>131</v>
      </c>
      <c r="C203" s="93">
        <v>6756888</v>
      </c>
      <c r="D203" s="15">
        <v>44725</v>
      </c>
      <c r="E203" s="110">
        <v>45447</v>
      </c>
      <c r="F203" s="111">
        <f t="shared" si="9"/>
        <v>722</v>
      </c>
      <c r="G203" s="16" t="s">
        <v>65</v>
      </c>
      <c r="H203" s="112">
        <v>0</v>
      </c>
      <c r="I203" s="112">
        <v>1</v>
      </c>
      <c r="J203" s="112">
        <v>1</v>
      </c>
      <c r="K203" s="112"/>
      <c r="L203" s="112"/>
      <c r="M203" s="112"/>
      <c r="N203" s="112">
        <v>1</v>
      </c>
      <c r="O203" s="112"/>
      <c r="P203" s="112"/>
      <c r="Q203" s="112"/>
      <c r="R203" s="112"/>
      <c r="S203" s="112"/>
      <c r="T203" s="112"/>
      <c r="U203" s="112"/>
      <c r="V203" s="112"/>
      <c r="W203" s="112">
        <v>0</v>
      </c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96"/>
    </row>
    <row r="204" spans="1:34" s="25" customFormat="1" x14ac:dyDescent="0.25">
      <c r="A204" s="118" t="s">
        <v>417</v>
      </c>
      <c r="B204" s="92" t="s">
        <v>132</v>
      </c>
      <c r="C204" s="137">
        <v>4765561</v>
      </c>
      <c r="D204" s="7">
        <v>44705</v>
      </c>
      <c r="E204" s="110">
        <v>45457</v>
      </c>
      <c r="F204" s="111">
        <f t="shared" si="9"/>
        <v>752</v>
      </c>
      <c r="G204" s="9" t="s">
        <v>65</v>
      </c>
      <c r="H204" s="112">
        <v>0</v>
      </c>
      <c r="I204" s="112">
        <v>1</v>
      </c>
      <c r="J204" s="112">
        <v>1</v>
      </c>
      <c r="K204" s="112"/>
      <c r="L204" s="112"/>
      <c r="M204" s="112">
        <v>1</v>
      </c>
      <c r="N204" s="112"/>
      <c r="O204" s="112"/>
      <c r="P204" s="112"/>
      <c r="Q204" s="112"/>
      <c r="R204" s="112"/>
      <c r="S204" s="112"/>
      <c r="T204" s="112"/>
      <c r="U204" s="112"/>
      <c r="V204" s="112"/>
      <c r="W204" s="112">
        <v>0</v>
      </c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>
        <v>2</v>
      </c>
      <c r="AH204" s="96"/>
    </row>
    <row r="205" spans="1:34" s="25" customFormat="1" x14ac:dyDescent="0.25">
      <c r="A205" s="118" t="s">
        <v>331</v>
      </c>
      <c r="B205" s="91" t="s">
        <v>133</v>
      </c>
      <c r="C205" s="93">
        <v>1220793</v>
      </c>
      <c r="D205" s="7">
        <v>44743</v>
      </c>
      <c r="E205" s="110">
        <v>45483</v>
      </c>
      <c r="F205" s="111">
        <f t="shared" si="9"/>
        <v>740</v>
      </c>
      <c r="G205" s="9" t="s">
        <v>65</v>
      </c>
      <c r="H205" s="112">
        <v>0</v>
      </c>
      <c r="I205" s="112">
        <v>1</v>
      </c>
      <c r="J205" s="112">
        <v>1</v>
      </c>
      <c r="K205" s="112"/>
      <c r="L205" s="112"/>
      <c r="M205" s="112"/>
      <c r="N205" s="112"/>
      <c r="O205" s="112"/>
      <c r="P205" s="112"/>
      <c r="Q205" s="112"/>
      <c r="R205" s="112"/>
      <c r="S205" s="112">
        <v>1</v>
      </c>
      <c r="T205" s="112"/>
      <c r="U205" s="112"/>
      <c r="V205" s="112"/>
      <c r="W205" s="112">
        <v>0</v>
      </c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96"/>
    </row>
    <row r="206" spans="1:34" s="25" customFormat="1" x14ac:dyDescent="0.25">
      <c r="A206" s="118" t="s">
        <v>501</v>
      </c>
      <c r="B206" s="91" t="s">
        <v>134</v>
      </c>
      <c r="C206" s="93">
        <v>6742386</v>
      </c>
      <c r="D206" s="7">
        <v>44704</v>
      </c>
      <c r="E206" s="110">
        <v>45468</v>
      </c>
      <c r="F206" s="111">
        <f t="shared" si="9"/>
        <v>764</v>
      </c>
      <c r="G206" s="9" t="s">
        <v>65</v>
      </c>
      <c r="H206" s="112">
        <v>0</v>
      </c>
      <c r="I206" s="112">
        <v>1</v>
      </c>
      <c r="J206" s="112">
        <v>0</v>
      </c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>
        <v>0</v>
      </c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96"/>
    </row>
    <row r="207" spans="1:34" s="25" customFormat="1" x14ac:dyDescent="0.25">
      <c r="A207" s="118" t="s">
        <v>340</v>
      </c>
      <c r="B207" s="47" t="s">
        <v>135</v>
      </c>
      <c r="C207" s="93">
        <v>1535492</v>
      </c>
      <c r="D207" s="7">
        <v>44726</v>
      </c>
      <c r="E207" s="110">
        <v>45310</v>
      </c>
      <c r="F207" s="111">
        <f t="shared" si="9"/>
        <v>584</v>
      </c>
      <c r="G207" s="9" t="s">
        <v>65</v>
      </c>
      <c r="H207" s="87">
        <v>1</v>
      </c>
      <c r="I207" s="87">
        <v>1</v>
      </c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96"/>
    </row>
    <row r="208" spans="1:34" s="25" customFormat="1" x14ac:dyDescent="0.25">
      <c r="A208" s="118" t="s">
        <v>475</v>
      </c>
      <c r="B208" s="92" t="s">
        <v>136</v>
      </c>
      <c r="C208" s="137">
        <v>6430663</v>
      </c>
      <c r="D208" s="7">
        <v>44792</v>
      </c>
      <c r="E208" s="110">
        <v>45401</v>
      </c>
      <c r="F208" s="111">
        <f t="shared" si="9"/>
        <v>609</v>
      </c>
      <c r="G208" s="9" t="s">
        <v>65</v>
      </c>
      <c r="H208" s="112">
        <v>0</v>
      </c>
      <c r="I208" s="112">
        <v>1</v>
      </c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96"/>
    </row>
    <row r="209" spans="1:34" s="25" customFormat="1" x14ac:dyDescent="0.25">
      <c r="A209" s="118" t="s">
        <v>495</v>
      </c>
      <c r="B209" s="47" t="s">
        <v>137</v>
      </c>
      <c r="C209" s="93">
        <v>6661252</v>
      </c>
      <c r="D209" s="7">
        <v>44734</v>
      </c>
      <c r="E209" s="110">
        <v>45497</v>
      </c>
      <c r="F209" s="111">
        <f t="shared" si="9"/>
        <v>763</v>
      </c>
      <c r="G209" s="9" t="s">
        <v>65</v>
      </c>
      <c r="H209" s="112">
        <v>0</v>
      </c>
      <c r="I209" s="112">
        <v>1</v>
      </c>
      <c r="J209" s="112">
        <v>0</v>
      </c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>
        <v>0</v>
      </c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>
        <v>2</v>
      </c>
      <c r="AH209" s="96"/>
    </row>
    <row r="210" spans="1:34" x14ac:dyDescent="0.25"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</row>
    <row r="211" spans="1:34" x14ac:dyDescent="0.25"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</row>
    <row r="212" spans="1:34" x14ac:dyDescent="0.25">
      <c r="E212" s="125" t="s">
        <v>138</v>
      </c>
      <c r="F212" s="111">
        <f>MEDIAN(F2:F209)/365</f>
        <v>2.1095890410958904</v>
      </c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</row>
    <row r="213" spans="1:34" x14ac:dyDescent="0.25"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</row>
    <row r="214" spans="1:34" x14ac:dyDescent="0.25"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</row>
  </sheetData>
  <sortState xmlns:xlrd2="http://schemas.microsoft.com/office/spreadsheetml/2017/richdata2" ref="A2:AH214">
    <sortCondition ref="A1:A2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B5F-242F-4080-B877-5DEBC54C490B}">
  <dimension ref="A1:AE209"/>
  <sheetViews>
    <sheetView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2.42578125" style="218" customWidth="1"/>
    <col min="2" max="2" width="9.140625" style="218"/>
    <col min="3" max="3" width="26.140625" style="6" bestFit="1" customWidth="1"/>
    <col min="4" max="4" width="15.140625" style="6" customWidth="1"/>
    <col min="5" max="5" width="9.140625" style="6"/>
    <col min="6" max="6" width="26.28515625" style="6" customWidth="1"/>
    <col min="7" max="7" width="15.5703125" style="6" customWidth="1"/>
    <col min="8" max="9" width="9.140625" style="6"/>
    <col min="10" max="10" width="10.28515625" style="6" bestFit="1" customWidth="1"/>
    <col min="11" max="11" width="19.7109375" style="6" bestFit="1" customWidth="1"/>
    <col min="12" max="12" width="22" style="6" bestFit="1" customWidth="1"/>
    <col min="13" max="13" width="19.140625" style="6" bestFit="1" customWidth="1"/>
    <col min="14" max="14" width="9.140625" style="6"/>
    <col min="15" max="15" width="17.42578125" style="6" bestFit="1" customWidth="1"/>
    <col min="16" max="19" width="9.140625" style="6"/>
    <col min="20" max="20" width="39" style="6" customWidth="1"/>
    <col min="21" max="16384" width="9.140625" style="6"/>
  </cols>
  <sheetData>
    <row r="1" spans="1:31" ht="30.75" thickBot="1" x14ac:dyDescent="0.3">
      <c r="A1" s="228" t="s">
        <v>308</v>
      </c>
      <c r="B1" s="218" t="s">
        <v>515</v>
      </c>
      <c r="C1" s="229" t="s">
        <v>0</v>
      </c>
      <c r="D1" s="230" t="s">
        <v>1</v>
      </c>
      <c r="E1" s="231" t="s">
        <v>5</v>
      </c>
      <c r="F1" s="232" t="s">
        <v>525</v>
      </c>
      <c r="G1" s="232" t="s">
        <v>526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20</v>
      </c>
      <c r="AD1" s="5" t="s">
        <v>29</v>
      </c>
      <c r="AE1" s="5" t="s">
        <v>30</v>
      </c>
    </row>
    <row r="2" spans="1:31" x14ac:dyDescent="0.25">
      <c r="A2" s="233" t="s">
        <v>468</v>
      </c>
      <c r="B2" s="214"/>
      <c r="C2" s="167" t="s">
        <v>115</v>
      </c>
      <c r="D2" s="167">
        <v>6344639</v>
      </c>
      <c r="E2" s="170" t="s">
        <v>65</v>
      </c>
      <c r="F2" s="6">
        <v>0</v>
      </c>
      <c r="G2" s="6">
        <v>1</v>
      </c>
      <c r="H2" s="6">
        <v>0</v>
      </c>
      <c r="Q2" s="6">
        <v>1</v>
      </c>
      <c r="U2" s="6">
        <v>0</v>
      </c>
      <c r="AE2" s="6">
        <v>2</v>
      </c>
    </row>
    <row r="3" spans="1:31" x14ac:dyDescent="0.25">
      <c r="A3" s="219" t="s">
        <v>387</v>
      </c>
      <c r="B3" s="214" t="s">
        <v>517</v>
      </c>
      <c r="C3" s="162" t="s">
        <v>202</v>
      </c>
      <c r="D3" s="156">
        <v>2192350</v>
      </c>
      <c r="E3" s="162" t="s">
        <v>171</v>
      </c>
      <c r="F3" s="170">
        <v>0</v>
      </c>
      <c r="G3" s="170">
        <v>1</v>
      </c>
      <c r="H3" s="162">
        <v>2</v>
      </c>
      <c r="I3" s="162"/>
      <c r="J3" s="162"/>
      <c r="K3" s="162">
        <v>2</v>
      </c>
      <c r="L3" s="162"/>
      <c r="M3" s="162"/>
      <c r="N3" s="162"/>
      <c r="O3" s="162">
        <v>2</v>
      </c>
      <c r="P3" s="162"/>
      <c r="Q3" s="162"/>
      <c r="R3" s="162"/>
      <c r="S3" s="162"/>
      <c r="T3" s="162" t="s">
        <v>203</v>
      </c>
      <c r="U3" s="162">
        <v>2</v>
      </c>
      <c r="V3" s="162"/>
      <c r="W3" s="162"/>
      <c r="X3" s="162"/>
      <c r="Y3" s="162"/>
      <c r="Z3" s="162">
        <v>2</v>
      </c>
      <c r="AA3" s="162">
        <v>2</v>
      </c>
      <c r="AB3" s="162">
        <v>1</v>
      </c>
      <c r="AC3" s="162" t="s">
        <v>519</v>
      </c>
      <c r="AD3" s="162"/>
      <c r="AE3" s="162"/>
    </row>
    <row r="4" spans="1:31" x14ac:dyDescent="0.25">
      <c r="A4" s="233" t="s">
        <v>363</v>
      </c>
      <c r="B4" s="214"/>
      <c r="C4" s="167" t="s">
        <v>104</v>
      </c>
      <c r="D4" s="167">
        <v>2293334</v>
      </c>
      <c r="E4" s="170" t="s">
        <v>65</v>
      </c>
      <c r="F4" s="6">
        <v>0</v>
      </c>
      <c r="G4" s="6">
        <v>1</v>
      </c>
      <c r="H4" s="6">
        <v>1</v>
      </c>
      <c r="O4" s="6">
        <v>1</v>
      </c>
      <c r="U4" s="6">
        <v>0</v>
      </c>
      <c r="AD4" s="6">
        <v>1</v>
      </c>
      <c r="AE4" s="6">
        <v>2</v>
      </c>
    </row>
    <row r="5" spans="1:31" x14ac:dyDescent="0.25">
      <c r="A5" s="219" t="s">
        <v>453</v>
      </c>
      <c r="B5" s="214" t="s">
        <v>517</v>
      </c>
      <c r="C5" s="167" t="s">
        <v>223</v>
      </c>
      <c r="D5" s="152">
        <v>3925175</v>
      </c>
      <c r="E5" s="167" t="s">
        <v>171</v>
      </c>
      <c r="F5" s="170">
        <v>1</v>
      </c>
      <c r="G5" s="170">
        <v>1</v>
      </c>
      <c r="H5" s="6" t="s">
        <v>172</v>
      </c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6" t="s">
        <v>172</v>
      </c>
      <c r="V5" s="167"/>
      <c r="W5" s="167"/>
      <c r="X5" s="167"/>
      <c r="Y5" s="167"/>
      <c r="Z5" s="167"/>
      <c r="AA5" s="167"/>
      <c r="AB5" s="167"/>
      <c r="AC5" s="167"/>
      <c r="AD5" s="167"/>
      <c r="AE5" s="167"/>
    </row>
    <row r="6" spans="1:31" x14ac:dyDescent="0.25">
      <c r="A6" s="219" t="s">
        <v>335</v>
      </c>
      <c r="B6" s="215" t="s">
        <v>517</v>
      </c>
      <c r="C6" s="155" t="s">
        <v>184</v>
      </c>
      <c r="D6" s="156">
        <v>1081580</v>
      </c>
      <c r="E6" s="170" t="s">
        <v>171</v>
      </c>
      <c r="F6" s="170">
        <v>0</v>
      </c>
      <c r="G6" s="170">
        <v>1</v>
      </c>
      <c r="H6" s="6">
        <v>0</v>
      </c>
      <c r="U6" s="6">
        <v>0</v>
      </c>
    </row>
    <row r="7" spans="1:31" x14ac:dyDescent="0.25">
      <c r="A7" s="259" t="s">
        <v>453</v>
      </c>
      <c r="B7" s="214"/>
      <c r="C7" s="234" t="s">
        <v>218</v>
      </c>
      <c r="D7" s="152">
        <v>5901224</v>
      </c>
      <c r="E7" s="167" t="s">
        <v>171</v>
      </c>
      <c r="F7" s="170">
        <v>0</v>
      </c>
      <c r="G7" s="170">
        <v>1</v>
      </c>
      <c r="H7" s="167">
        <v>1</v>
      </c>
      <c r="I7" s="167"/>
      <c r="J7" s="167"/>
      <c r="K7" s="167">
        <v>1</v>
      </c>
      <c r="L7" s="167"/>
      <c r="M7" s="167">
        <v>1</v>
      </c>
      <c r="N7" s="167"/>
      <c r="O7" s="167"/>
      <c r="P7" s="167"/>
      <c r="Q7" s="167"/>
      <c r="R7" s="167"/>
      <c r="S7" s="167"/>
      <c r="T7" s="167"/>
      <c r="U7" s="167">
        <v>0</v>
      </c>
      <c r="V7" s="167"/>
      <c r="W7" s="167"/>
      <c r="X7" s="167"/>
      <c r="Y7" s="167"/>
      <c r="Z7" s="167"/>
      <c r="AA7" s="167"/>
      <c r="AB7" s="167"/>
      <c r="AC7" s="167"/>
      <c r="AD7" s="167"/>
      <c r="AE7" s="167"/>
    </row>
    <row r="8" spans="1:31" x14ac:dyDescent="0.25">
      <c r="A8" s="220" t="s">
        <v>495</v>
      </c>
      <c r="B8" s="214"/>
      <c r="C8" s="167" t="s">
        <v>137</v>
      </c>
      <c r="D8" s="167">
        <v>6661252</v>
      </c>
      <c r="E8" s="170" t="s">
        <v>65</v>
      </c>
      <c r="F8" s="6">
        <v>0</v>
      </c>
      <c r="G8" s="6">
        <v>1</v>
      </c>
      <c r="H8" s="6">
        <v>0</v>
      </c>
      <c r="U8" s="6">
        <v>0</v>
      </c>
      <c r="AE8" s="6">
        <v>2</v>
      </c>
    </row>
    <row r="9" spans="1:31" x14ac:dyDescent="0.25">
      <c r="A9" s="220" t="s">
        <v>398</v>
      </c>
      <c r="B9" s="214"/>
      <c r="C9" s="234" t="s">
        <v>75</v>
      </c>
      <c r="D9" s="167">
        <v>4028469</v>
      </c>
      <c r="E9" s="170" t="s">
        <v>65</v>
      </c>
      <c r="F9" s="6">
        <v>0</v>
      </c>
      <c r="G9" s="6">
        <v>1</v>
      </c>
      <c r="H9" s="6">
        <v>1</v>
      </c>
      <c r="K9" s="6">
        <v>1</v>
      </c>
      <c r="Q9" s="6">
        <v>1</v>
      </c>
      <c r="U9" s="6">
        <v>0</v>
      </c>
      <c r="AE9" s="6">
        <v>2</v>
      </c>
    </row>
    <row r="10" spans="1:31" x14ac:dyDescent="0.25">
      <c r="A10" s="219" t="s">
        <v>469</v>
      </c>
      <c r="B10" s="214" t="s">
        <v>517</v>
      </c>
      <c r="C10" s="155" t="s">
        <v>199</v>
      </c>
      <c r="D10" s="156">
        <v>4333565</v>
      </c>
      <c r="E10" s="6" t="s">
        <v>171</v>
      </c>
      <c r="F10" s="170">
        <v>1</v>
      </c>
      <c r="G10" s="170">
        <v>1</v>
      </c>
      <c r="H10" s="6" t="s">
        <v>172</v>
      </c>
      <c r="U10" s="6" t="s">
        <v>172</v>
      </c>
    </row>
    <row r="11" spans="1:31" x14ac:dyDescent="0.25">
      <c r="A11" s="220" t="s">
        <v>374</v>
      </c>
      <c r="B11" s="214"/>
      <c r="C11" s="167" t="s">
        <v>86</v>
      </c>
      <c r="D11" s="167">
        <v>2742922</v>
      </c>
      <c r="E11" s="170" t="s">
        <v>65</v>
      </c>
      <c r="F11" s="6">
        <v>0</v>
      </c>
      <c r="G11" s="6">
        <v>1</v>
      </c>
      <c r="H11" s="6">
        <v>0</v>
      </c>
      <c r="U11" s="6">
        <v>0</v>
      </c>
    </row>
    <row r="12" spans="1:31" x14ac:dyDescent="0.25">
      <c r="A12" s="220" t="s">
        <v>497</v>
      </c>
      <c r="B12" s="214"/>
      <c r="C12" s="167" t="s">
        <v>120</v>
      </c>
      <c r="D12" s="167">
        <v>6673787</v>
      </c>
      <c r="E12" s="170" t="s">
        <v>65</v>
      </c>
      <c r="F12" s="206">
        <v>1</v>
      </c>
      <c r="G12" s="206">
        <v>1</v>
      </c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</row>
    <row r="13" spans="1:31" x14ac:dyDescent="0.25">
      <c r="A13" s="220" t="s">
        <v>405</v>
      </c>
      <c r="B13" s="214"/>
      <c r="C13" s="167" t="s">
        <v>127</v>
      </c>
      <c r="D13" s="167">
        <v>4196956</v>
      </c>
      <c r="E13" s="170" t="s">
        <v>65</v>
      </c>
      <c r="F13" s="6">
        <v>0</v>
      </c>
      <c r="G13" s="6">
        <v>1</v>
      </c>
      <c r="H13" s="6">
        <v>0</v>
      </c>
      <c r="Q13" s="6">
        <v>1</v>
      </c>
      <c r="U13" s="6">
        <v>1</v>
      </c>
      <c r="V13" s="6">
        <v>1</v>
      </c>
      <c r="X13" s="6">
        <v>1</v>
      </c>
      <c r="AD13" s="6">
        <v>1</v>
      </c>
      <c r="AE13" s="6">
        <v>2</v>
      </c>
    </row>
    <row r="14" spans="1:31" x14ac:dyDescent="0.25">
      <c r="A14" s="220" t="s">
        <v>483</v>
      </c>
      <c r="B14" s="214"/>
      <c r="C14" s="234" t="s">
        <v>56</v>
      </c>
      <c r="D14" s="167">
        <v>6515626</v>
      </c>
      <c r="E14" s="170" t="s">
        <v>32</v>
      </c>
      <c r="F14" s="6">
        <v>0</v>
      </c>
      <c r="G14" s="6">
        <v>1</v>
      </c>
      <c r="H14" s="6">
        <v>1</v>
      </c>
      <c r="K14" s="6">
        <v>1</v>
      </c>
      <c r="Q14" s="6">
        <v>1</v>
      </c>
      <c r="U14" s="6">
        <v>0</v>
      </c>
    </row>
    <row r="15" spans="1:31" x14ac:dyDescent="0.25">
      <c r="A15" s="219" t="s">
        <v>482</v>
      </c>
      <c r="B15" s="214" t="s">
        <v>517</v>
      </c>
      <c r="C15" s="234" t="s">
        <v>227</v>
      </c>
      <c r="D15" s="152">
        <v>4839122</v>
      </c>
      <c r="E15" s="167" t="s">
        <v>171</v>
      </c>
      <c r="F15" s="170">
        <v>0</v>
      </c>
      <c r="G15" s="170">
        <v>1</v>
      </c>
      <c r="H15" s="167">
        <v>0</v>
      </c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>
        <v>0</v>
      </c>
      <c r="W15" s="167"/>
      <c r="X15" s="167"/>
      <c r="Y15" s="167"/>
      <c r="Z15" s="167"/>
      <c r="AA15" s="167"/>
      <c r="AB15" s="167"/>
      <c r="AC15" s="167"/>
      <c r="AD15" s="167"/>
      <c r="AE15" s="167"/>
    </row>
    <row r="16" spans="1:31" x14ac:dyDescent="0.25">
      <c r="A16" s="220" t="s">
        <v>406</v>
      </c>
      <c r="B16" s="214"/>
      <c r="C16" s="167" t="s">
        <v>59</v>
      </c>
      <c r="D16" s="167">
        <v>4223888</v>
      </c>
      <c r="E16" s="170" t="s">
        <v>40</v>
      </c>
      <c r="F16" s="206">
        <v>1</v>
      </c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</row>
    <row r="17" spans="1:31" x14ac:dyDescent="0.25">
      <c r="A17" s="260" t="s">
        <v>470</v>
      </c>
      <c r="B17" s="214"/>
      <c r="C17" s="167" t="s">
        <v>211</v>
      </c>
      <c r="D17" s="152">
        <v>6349772</v>
      </c>
      <c r="E17" s="167" t="s">
        <v>171</v>
      </c>
      <c r="F17" s="170">
        <v>0</v>
      </c>
      <c r="G17" s="170">
        <v>1</v>
      </c>
      <c r="H17" s="167">
        <v>1</v>
      </c>
      <c r="I17" s="167"/>
      <c r="J17" s="167"/>
      <c r="K17" s="167">
        <v>1</v>
      </c>
      <c r="L17" s="167">
        <v>1</v>
      </c>
      <c r="M17" s="167"/>
      <c r="N17" s="167"/>
      <c r="O17" s="167">
        <v>1</v>
      </c>
      <c r="P17" s="167"/>
      <c r="Q17" s="167"/>
      <c r="R17" s="167"/>
      <c r="S17" s="167"/>
      <c r="T17" s="167"/>
      <c r="U17" s="167">
        <v>0</v>
      </c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</row>
    <row r="18" spans="1:31" x14ac:dyDescent="0.25">
      <c r="A18" s="220" t="s">
        <v>352</v>
      </c>
      <c r="B18" s="214"/>
      <c r="C18" s="167" t="s">
        <v>88</v>
      </c>
      <c r="D18" s="167">
        <v>2008227</v>
      </c>
      <c r="E18" s="170" t="s">
        <v>65</v>
      </c>
      <c r="F18" s="6">
        <v>0</v>
      </c>
      <c r="G18" s="6">
        <v>1</v>
      </c>
      <c r="H18" s="6">
        <v>1</v>
      </c>
      <c r="K18" s="6">
        <v>1</v>
      </c>
      <c r="M18" s="6">
        <v>1</v>
      </c>
      <c r="O18" s="6">
        <v>1</v>
      </c>
      <c r="Q18" s="6">
        <v>1</v>
      </c>
      <c r="U18" s="6">
        <v>0</v>
      </c>
      <c r="AD18" s="6">
        <v>1</v>
      </c>
      <c r="AE18" s="6">
        <v>2</v>
      </c>
    </row>
    <row r="19" spans="1:31" x14ac:dyDescent="0.25">
      <c r="A19" s="261" t="s">
        <v>393</v>
      </c>
      <c r="B19" s="214"/>
      <c r="C19" s="235" t="s">
        <v>153</v>
      </c>
      <c r="D19" s="105">
        <v>3695498</v>
      </c>
      <c r="E19" s="6" t="s">
        <v>148</v>
      </c>
      <c r="F19" s="6">
        <v>0</v>
      </c>
      <c r="G19" s="6">
        <v>1</v>
      </c>
      <c r="H19" s="6">
        <v>0</v>
      </c>
      <c r="U19" s="6">
        <v>0</v>
      </c>
      <c r="AD19" s="6">
        <v>1</v>
      </c>
      <c r="AE19" s="6">
        <v>1</v>
      </c>
    </row>
    <row r="20" spans="1:31" x14ac:dyDescent="0.25">
      <c r="A20" s="219" t="s">
        <v>321</v>
      </c>
      <c r="B20" s="215" t="s">
        <v>517</v>
      </c>
      <c r="C20" s="236" t="s">
        <v>195</v>
      </c>
      <c r="D20" s="6">
        <v>762097</v>
      </c>
      <c r="E20" s="170" t="s">
        <v>171</v>
      </c>
      <c r="F20" s="170">
        <v>0</v>
      </c>
      <c r="G20" s="170">
        <v>1</v>
      </c>
      <c r="H20" s="6">
        <v>0</v>
      </c>
      <c r="U20" s="6">
        <v>0</v>
      </c>
    </row>
    <row r="21" spans="1:31" x14ac:dyDescent="0.25">
      <c r="A21" s="219" t="s">
        <v>365</v>
      </c>
      <c r="B21" s="214" t="s">
        <v>517</v>
      </c>
      <c r="C21" s="170" t="s">
        <v>264</v>
      </c>
      <c r="D21" s="156">
        <v>1764235</v>
      </c>
      <c r="E21" s="170" t="s">
        <v>242</v>
      </c>
      <c r="F21" s="170">
        <v>0</v>
      </c>
      <c r="G21" s="170">
        <v>1</v>
      </c>
      <c r="H21" s="6">
        <v>0</v>
      </c>
      <c r="U21" s="6">
        <v>0</v>
      </c>
    </row>
    <row r="22" spans="1:31" x14ac:dyDescent="0.25">
      <c r="A22" s="220" t="s">
        <v>491</v>
      </c>
      <c r="B22" s="214"/>
      <c r="C22" s="167" t="s">
        <v>103</v>
      </c>
      <c r="D22" s="167">
        <v>6594458</v>
      </c>
      <c r="E22" s="170" t="s">
        <v>65</v>
      </c>
      <c r="F22" s="6">
        <v>0</v>
      </c>
      <c r="G22" s="6">
        <v>1</v>
      </c>
      <c r="H22" s="6">
        <v>1</v>
      </c>
      <c r="O22" s="6">
        <v>1</v>
      </c>
      <c r="P22" s="6">
        <v>1</v>
      </c>
      <c r="U22" s="6">
        <v>0</v>
      </c>
    </row>
    <row r="23" spans="1:31" x14ac:dyDescent="0.25">
      <c r="A23" s="219" t="s">
        <v>359</v>
      </c>
      <c r="B23" s="214" t="s">
        <v>517</v>
      </c>
      <c r="C23" s="155" t="s">
        <v>224</v>
      </c>
      <c r="D23" s="156">
        <v>1658581</v>
      </c>
      <c r="E23" s="170" t="s">
        <v>171</v>
      </c>
      <c r="F23" s="170">
        <v>0</v>
      </c>
      <c r="G23" s="170">
        <v>1</v>
      </c>
      <c r="H23" s="170">
        <v>1</v>
      </c>
      <c r="I23" s="170"/>
      <c r="J23" s="170"/>
      <c r="K23" s="170">
        <v>1</v>
      </c>
      <c r="L23" s="170"/>
      <c r="M23" s="170"/>
      <c r="N23" s="170"/>
      <c r="O23" s="170"/>
      <c r="P23" s="170"/>
      <c r="Q23" s="170"/>
      <c r="R23" s="170"/>
      <c r="S23" s="170"/>
      <c r="T23" s="170"/>
      <c r="U23" s="170">
        <v>0</v>
      </c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</row>
    <row r="24" spans="1:31" x14ac:dyDescent="0.25">
      <c r="A24" s="259" t="s">
        <v>440</v>
      </c>
      <c r="B24" s="214"/>
      <c r="C24" s="236" t="s">
        <v>192</v>
      </c>
      <c r="D24" s="163">
        <v>5425370</v>
      </c>
      <c r="E24" s="6" t="s">
        <v>171</v>
      </c>
      <c r="F24" s="170">
        <v>0</v>
      </c>
      <c r="G24" s="170">
        <v>1</v>
      </c>
      <c r="H24" s="6">
        <v>0</v>
      </c>
      <c r="U24" s="6">
        <v>0</v>
      </c>
    </row>
    <row r="25" spans="1:31" x14ac:dyDescent="0.25">
      <c r="A25" s="219" t="s">
        <v>362</v>
      </c>
      <c r="B25" s="214" t="s">
        <v>517</v>
      </c>
      <c r="C25" s="155" t="s">
        <v>252</v>
      </c>
      <c r="D25" s="156">
        <v>1743204</v>
      </c>
      <c r="E25" s="170" t="s">
        <v>242</v>
      </c>
      <c r="F25" s="170">
        <v>0</v>
      </c>
      <c r="G25" s="170">
        <v>1</v>
      </c>
      <c r="H25" s="6">
        <v>0</v>
      </c>
      <c r="U25" s="6">
        <v>0</v>
      </c>
    </row>
    <row r="26" spans="1:31" x14ac:dyDescent="0.25">
      <c r="A26" s="259" t="s">
        <v>455</v>
      </c>
      <c r="B26" s="214"/>
      <c r="C26" s="234" t="s">
        <v>233</v>
      </c>
      <c r="D26" s="237">
        <v>6124037</v>
      </c>
      <c r="E26" s="167" t="s">
        <v>171</v>
      </c>
      <c r="F26" s="170">
        <v>0</v>
      </c>
      <c r="G26" s="170">
        <v>1</v>
      </c>
      <c r="H26" s="167">
        <v>2</v>
      </c>
      <c r="I26" s="167">
        <v>0</v>
      </c>
      <c r="J26" s="167">
        <v>0</v>
      </c>
      <c r="K26" s="167">
        <v>2</v>
      </c>
      <c r="L26" s="167">
        <v>0</v>
      </c>
      <c r="M26" s="167"/>
      <c r="N26" s="167"/>
      <c r="O26" s="167"/>
      <c r="P26" s="167">
        <v>1</v>
      </c>
      <c r="Q26" s="167"/>
      <c r="R26" s="167"/>
      <c r="S26" s="167"/>
      <c r="T26" s="167"/>
      <c r="U26" s="167">
        <v>1</v>
      </c>
      <c r="V26" s="167"/>
      <c r="W26" s="167"/>
      <c r="X26" s="167">
        <v>1</v>
      </c>
      <c r="Y26" s="167"/>
      <c r="Z26" s="167">
        <v>1</v>
      </c>
      <c r="AA26" s="167">
        <v>1</v>
      </c>
      <c r="AB26" s="167"/>
      <c r="AC26" s="167"/>
      <c r="AD26" s="167"/>
      <c r="AE26" s="167"/>
    </row>
    <row r="27" spans="1:31" x14ac:dyDescent="0.25">
      <c r="A27" s="220" t="s">
        <v>407</v>
      </c>
      <c r="B27" s="214"/>
      <c r="C27" s="208" t="s">
        <v>96</v>
      </c>
      <c r="D27" s="167">
        <v>4270218</v>
      </c>
      <c r="E27" s="170" t="s">
        <v>65</v>
      </c>
      <c r="F27" s="6">
        <v>0</v>
      </c>
      <c r="G27" s="6">
        <v>1</v>
      </c>
      <c r="H27" s="6">
        <v>1</v>
      </c>
      <c r="K27" s="6">
        <v>1</v>
      </c>
      <c r="O27" s="6">
        <v>1</v>
      </c>
      <c r="Q27" s="6">
        <v>1</v>
      </c>
      <c r="U27" s="6">
        <v>0</v>
      </c>
      <c r="AE27" s="6">
        <v>1</v>
      </c>
    </row>
    <row r="28" spans="1:31" x14ac:dyDescent="0.25">
      <c r="A28" s="262" t="s">
        <v>509</v>
      </c>
      <c r="B28" s="214"/>
      <c r="C28" s="192" t="s">
        <v>146</v>
      </c>
      <c r="D28" s="238" t="s">
        <v>147</v>
      </c>
      <c r="E28" s="6" t="s">
        <v>148</v>
      </c>
      <c r="F28" s="6">
        <v>0</v>
      </c>
      <c r="G28" s="6">
        <v>1</v>
      </c>
      <c r="H28" s="6">
        <v>1</v>
      </c>
      <c r="K28" s="6">
        <v>1</v>
      </c>
      <c r="U28" s="6">
        <v>0</v>
      </c>
      <c r="AE28" s="6">
        <v>1</v>
      </c>
    </row>
    <row r="29" spans="1:31" x14ac:dyDescent="0.25">
      <c r="A29" s="219" t="s">
        <v>378</v>
      </c>
      <c r="B29" s="214" t="s">
        <v>517</v>
      </c>
      <c r="C29" s="155" t="s">
        <v>177</v>
      </c>
      <c r="D29" s="156">
        <v>2024736</v>
      </c>
      <c r="E29" s="170" t="s">
        <v>171</v>
      </c>
      <c r="F29" s="170">
        <v>0</v>
      </c>
      <c r="G29" s="186">
        <v>1</v>
      </c>
      <c r="H29" s="6">
        <v>0</v>
      </c>
      <c r="U29" s="6">
        <v>0</v>
      </c>
    </row>
    <row r="30" spans="1:31" x14ac:dyDescent="0.25">
      <c r="A30" s="219" t="s">
        <v>514</v>
      </c>
      <c r="B30" s="214" t="s">
        <v>517</v>
      </c>
      <c r="C30" s="155" t="s">
        <v>244</v>
      </c>
      <c r="D30" s="156">
        <v>2363434</v>
      </c>
      <c r="E30" s="211" t="s">
        <v>242</v>
      </c>
      <c r="F30" s="170">
        <v>0</v>
      </c>
      <c r="G30" s="211">
        <v>1</v>
      </c>
      <c r="H30" s="6">
        <v>2</v>
      </c>
      <c r="L30" s="6">
        <v>2</v>
      </c>
      <c r="O30" s="6">
        <v>2</v>
      </c>
      <c r="U30" s="6">
        <v>0</v>
      </c>
    </row>
    <row r="31" spans="1:31" x14ac:dyDescent="0.25">
      <c r="A31" s="263" t="s">
        <v>314</v>
      </c>
      <c r="B31" s="214"/>
      <c r="C31" s="186" t="s">
        <v>38</v>
      </c>
      <c r="D31" s="186">
        <v>445884</v>
      </c>
      <c r="E31" s="186" t="s">
        <v>32</v>
      </c>
      <c r="F31" s="6">
        <v>0</v>
      </c>
      <c r="G31" s="6">
        <v>1</v>
      </c>
      <c r="H31" s="6">
        <v>1</v>
      </c>
      <c r="K31" s="6">
        <v>1</v>
      </c>
      <c r="O31" s="6">
        <v>1</v>
      </c>
      <c r="Q31" s="6">
        <v>0</v>
      </c>
      <c r="U31" s="6">
        <v>1</v>
      </c>
      <c r="X31" s="6">
        <v>1</v>
      </c>
      <c r="AA31" s="6">
        <v>1</v>
      </c>
    </row>
    <row r="32" spans="1:31" x14ac:dyDescent="0.25">
      <c r="A32" s="259" t="s">
        <v>456</v>
      </c>
      <c r="B32" s="214"/>
      <c r="C32" s="162" t="s">
        <v>269</v>
      </c>
      <c r="D32" s="163">
        <v>6150830</v>
      </c>
      <c r="E32" s="210" t="s">
        <v>242</v>
      </c>
      <c r="F32" s="170">
        <v>0</v>
      </c>
      <c r="G32" s="170">
        <v>1</v>
      </c>
      <c r="H32" s="210">
        <v>2</v>
      </c>
      <c r="I32" s="162"/>
      <c r="J32" s="162"/>
      <c r="K32" s="162">
        <v>2</v>
      </c>
      <c r="L32" s="162"/>
      <c r="M32" s="162">
        <v>2</v>
      </c>
      <c r="N32" s="162"/>
      <c r="O32" s="162"/>
      <c r="P32" s="162"/>
      <c r="Q32" s="162">
        <v>1</v>
      </c>
      <c r="R32" s="162"/>
      <c r="S32" s="162"/>
      <c r="T32" s="162"/>
      <c r="U32" s="162">
        <v>0</v>
      </c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</row>
    <row r="33" spans="1:31" x14ac:dyDescent="0.25">
      <c r="A33" s="219" t="s">
        <v>412</v>
      </c>
      <c r="B33" s="214" t="s">
        <v>517</v>
      </c>
      <c r="C33" s="234" t="s">
        <v>287</v>
      </c>
      <c r="D33" s="167">
        <v>2581772</v>
      </c>
      <c r="E33" s="167" t="s">
        <v>242</v>
      </c>
      <c r="F33" s="170">
        <v>0</v>
      </c>
      <c r="G33" s="170">
        <v>1</v>
      </c>
      <c r="H33" s="167">
        <v>0</v>
      </c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>
        <v>0</v>
      </c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</row>
    <row r="34" spans="1:31" x14ac:dyDescent="0.25">
      <c r="A34" s="219"/>
      <c r="B34" s="214"/>
      <c r="C34" s="155" t="s">
        <v>250</v>
      </c>
      <c r="D34" s="156">
        <v>5027608</v>
      </c>
      <c r="E34" s="170" t="s">
        <v>242</v>
      </c>
      <c r="F34" s="170">
        <v>0</v>
      </c>
      <c r="G34" s="170">
        <v>1</v>
      </c>
      <c r="H34" s="6">
        <v>0</v>
      </c>
      <c r="U34" s="6">
        <v>0</v>
      </c>
    </row>
    <row r="35" spans="1:31" x14ac:dyDescent="0.25">
      <c r="A35" s="219"/>
      <c r="B35" s="214"/>
      <c r="C35" s="93" t="s">
        <v>168</v>
      </c>
      <c r="D35" s="93">
        <v>6666857</v>
      </c>
      <c r="E35" s="6" t="s">
        <v>148</v>
      </c>
      <c r="F35" s="6">
        <v>0</v>
      </c>
      <c r="G35" s="6">
        <v>1</v>
      </c>
      <c r="H35" s="6">
        <v>1</v>
      </c>
      <c r="K35" s="6">
        <v>1</v>
      </c>
      <c r="O35" s="6">
        <v>1</v>
      </c>
      <c r="Q35" s="6">
        <v>1</v>
      </c>
      <c r="U35" s="6">
        <v>0</v>
      </c>
      <c r="AD35" s="6">
        <v>1</v>
      </c>
      <c r="AE35" s="6">
        <v>1</v>
      </c>
    </row>
    <row r="36" spans="1:31" x14ac:dyDescent="0.25">
      <c r="A36" s="219"/>
      <c r="B36" s="214"/>
      <c r="C36" s="167" t="s">
        <v>58</v>
      </c>
      <c r="D36" s="208">
        <v>6587602</v>
      </c>
      <c r="E36" s="170" t="s">
        <v>32</v>
      </c>
      <c r="F36" s="6">
        <v>0</v>
      </c>
      <c r="G36" s="6">
        <v>1</v>
      </c>
      <c r="H36" s="6">
        <v>0</v>
      </c>
      <c r="U36" s="6">
        <v>0</v>
      </c>
    </row>
    <row r="37" spans="1:31" x14ac:dyDescent="0.25">
      <c r="A37" s="219" t="s">
        <v>462</v>
      </c>
      <c r="B37" s="214" t="s">
        <v>517</v>
      </c>
      <c r="C37" s="155" t="s">
        <v>255</v>
      </c>
      <c r="D37" s="156">
        <v>4195624</v>
      </c>
      <c r="E37" s="170" t="s">
        <v>242</v>
      </c>
      <c r="F37" s="170">
        <v>0</v>
      </c>
      <c r="G37" s="170">
        <v>1</v>
      </c>
      <c r="H37" s="6">
        <v>0</v>
      </c>
      <c r="U37" s="6">
        <v>0</v>
      </c>
    </row>
    <row r="38" spans="1:31" x14ac:dyDescent="0.25">
      <c r="A38" s="219" t="s">
        <v>472</v>
      </c>
      <c r="B38" s="214" t="s">
        <v>517</v>
      </c>
      <c r="C38" s="170" t="s">
        <v>210</v>
      </c>
      <c r="D38" s="156">
        <v>4618189</v>
      </c>
      <c r="E38" s="6" t="s">
        <v>171</v>
      </c>
      <c r="F38" s="170">
        <v>0</v>
      </c>
      <c r="G38" s="170">
        <v>1</v>
      </c>
      <c r="H38" s="6">
        <v>2</v>
      </c>
      <c r="K38" s="6">
        <v>2</v>
      </c>
      <c r="O38" s="6">
        <v>2</v>
      </c>
      <c r="U38" s="6">
        <v>1</v>
      </c>
      <c r="Z38" s="6">
        <v>1</v>
      </c>
      <c r="AA38" s="6">
        <v>1</v>
      </c>
    </row>
    <row r="39" spans="1:31" x14ac:dyDescent="0.25">
      <c r="A39" s="220" t="s">
        <v>409</v>
      </c>
      <c r="B39" s="214"/>
      <c r="C39" s="236" t="s">
        <v>51</v>
      </c>
      <c r="D39" s="208">
        <v>4366069</v>
      </c>
      <c r="E39" s="170" t="s">
        <v>32</v>
      </c>
      <c r="F39" s="206">
        <v>1</v>
      </c>
      <c r="G39" s="206">
        <v>1</v>
      </c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</row>
    <row r="40" spans="1:31" x14ac:dyDescent="0.25">
      <c r="A40" s="259" t="s">
        <v>511</v>
      </c>
      <c r="B40" s="214"/>
      <c r="C40" s="239" t="s">
        <v>156</v>
      </c>
      <c r="D40" s="240" t="s">
        <v>157</v>
      </c>
      <c r="E40" s="6" t="s">
        <v>148</v>
      </c>
      <c r="F40" s="6">
        <v>0</v>
      </c>
      <c r="G40" s="6">
        <v>1</v>
      </c>
      <c r="H40" s="6">
        <v>0</v>
      </c>
      <c r="U40" s="6">
        <v>0</v>
      </c>
      <c r="AD40" s="6">
        <v>0</v>
      </c>
      <c r="AE40" s="6">
        <v>0</v>
      </c>
    </row>
    <row r="41" spans="1:31" x14ac:dyDescent="0.25">
      <c r="A41" s="259" t="s">
        <v>472</v>
      </c>
      <c r="B41" s="214"/>
      <c r="C41" s="155" t="s">
        <v>260</v>
      </c>
      <c r="D41" s="156">
        <v>6384553</v>
      </c>
      <c r="E41" s="170" t="s">
        <v>242</v>
      </c>
      <c r="F41" s="170">
        <v>0</v>
      </c>
      <c r="G41" s="170">
        <v>1</v>
      </c>
      <c r="H41" s="6">
        <v>0</v>
      </c>
      <c r="U41" s="6">
        <v>0</v>
      </c>
    </row>
    <row r="42" spans="1:31" x14ac:dyDescent="0.25">
      <c r="A42" s="220" t="s">
        <v>418</v>
      </c>
      <c r="B42" s="214"/>
      <c r="C42" s="167" t="s">
        <v>119</v>
      </c>
      <c r="D42" s="167">
        <v>4784733</v>
      </c>
      <c r="E42" s="170" t="s">
        <v>65</v>
      </c>
      <c r="F42" s="206">
        <v>1</v>
      </c>
      <c r="G42" s="206">
        <v>1</v>
      </c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</row>
    <row r="43" spans="1:31" x14ac:dyDescent="0.25">
      <c r="A43" s="259" t="s">
        <v>510</v>
      </c>
      <c r="B43" s="214"/>
      <c r="C43" s="239" t="s">
        <v>154</v>
      </c>
      <c r="D43" s="240" t="s">
        <v>155</v>
      </c>
      <c r="E43" s="6" t="s">
        <v>148</v>
      </c>
      <c r="F43" s="6">
        <v>0</v>
      </c>
      <c r="G43" s="6">
        <v>1</v>
      </c>
      <c r="H43" s="6">
        <v>1</v>
      </c>
      <c r="K43" s="6">
        <v>2</v>
      </c>
      <c r="O43" s="6">
        <v>2</v>
      </c>
      <c r="Q43" s="6">
        <v>1</v>
      </c>
      <c r="U43" s="6">
        <v>0</v>
      </c>
      <c r="AD43" s="6">
        <v>1</v>
      </c>
      <c r="AE43" s="6">
        <v>1</v>
      </c>
    </row>
    <row r="44" spans="1:31" x14ac:dyDescent="0.25">
      <c r="A44" s="259" t="s">
        <v>441</v>
      </c>
      <c r="B44" s="214"/>
      <c r="C44" s="234" t="s">
        <v>226</v>
      </c>
      <c r="D44" s="152">
        <v>5431737</v>
      </c>
      <c r="E44" s="167" t="s">
        <v>171</v>
      </c>
      <c r="F44" s="170">
        <v>0</v>
      </c>
      <c r="G44" s="170">
        <v>1</v>
      </c>
      <c r="H44" s="167">
        <v>0</v>
      </c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>
        <v>0</v>
      </c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</row>
    <row r="45" spans="1:31" x14ac:dyDescent="0.25">
      <c r="A45" s="219" t="s">
        <v>392</v>
      </c>
      <c r="B45" s="214" t="s">
        <v>517</v>
      </c>
      <c r="C45" s="170" t="s">
        <v>190</v>
      </c>
      <c r="D45" s="156">
        <v>2250030</v>
      </c>
      <c r="E45" s="170" t="s">
        <v>171</v>
      </c>
      <c r="F45" s="170">
        <v>0</v>
      </c>
      <c r="G45" s="170">
        <v>1</v>
      </c>
      <c r="H45" s="6">
        <v>2</v>
      </c>
      <c r="K45" s="6">
        <v>2</v>
      </c>
      <c r="O45" s="6">
        <v>2</v>
      </c>
      <c r="T45" s="6" t="s">
        <v>520</v>
      </c>
      <c r="U45" s="6">
        <v>0</v>
      </c>
    </row>
    <row r="46" spans="1:31" x14ac:dyDescent="0.25">
      <c r="A46" s="219" t="s">
        <v>460</v>
      </c>
      <c r="B46" s="214" t="s">
        <v>517</v>
      </c>
      <c r="C46" s="155" t="s">
        <v>254</v>
      </c>
      <c r="D46" s="156">
        <v>4178252</v>
      </c>
      <c r="E46" s="170" t="s">
        <v>242</v>
      </c>
      <c r="F46" s="170">
        <v>1</v>
      </c>
      <c r="G46" s="170">
        <v>1</v>
      </c>
      <c r="H46" s="6" t="s">
        <v>172</v>
      </c>
      <c r="U46" s="6" t="s">
        <v>172</v>
      </c>
    </row>
    <row r="47" spans="1:31" x14ac:dyDescent="0.25">
      <c r="A47" s="219"/>
      <c r="B47" s="214"/>
      <c r="C47" s="155" t="s">
        <v>42</v>
      </c>
      <c r="D47" s="170">
        <v>2162352</v>
      </c>
      <c r="E47" s="170" t="s">
        <v>32</v>
      </c>
      <c r="F47" s="206">
        <v>1</v>
      </c>
      <c r="G47" s="206">
        <v>1</v>
      </c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</row>
    <row r="48" spans="1:31" x14ac:dyDescent="0.25">
      <c r="A48" s="219"/>
      <c r="B48" s="214"/>
      <c r="C48" s="6" t="s">
        <v>298</v>
      </c>
      <c r="D48" s="241">
        <v>6523086</v>
      </c>
      <c r="E48" s="156" t="s">
        <v>242</v>
      </c>
      <c r="F48" s="170">
        <v>0</v>
      </c>
      <c r="G48" s="170">
        <v>1</v>
      </c>
      <c r="H48" s="167">
        <v>0</v>
      </c>
      <c r="U48" s="167">
        <v>0</v>
      </c>
    </row>
    <row r="49" spans="1:31" x14ac:dyDescent="0.25">
      <c r="A49" s="219" t="s">
        <v>384</v>
      </c>
      <c r="B49" s="214" t="s">
        <v>517</v>
      </c>
      <c r="C49" s="155" t="s">
        <v>185</v>
      </c>
      <c r="D49" s="156">
        <v>2071874</v>
      </c>
      <c r="E49" s="170" t="s">
        <v>171</v>
      </c>
      <c r="F49" s="170">
        <v>1</v>
      </c>
      <c r="G49" s="170">
        <v>1</v>
      </c>
      <c r="H49" s="6" t="s">
        <v>172</v>
      </c>
      <c r="U49" s="6" t="s">
        <v>172</v>
      </c>
    </row>
    <row r="50" spans="1:31" x14ac:dyDescent="0.25">
      <c r="A50" s="219"/>
      <c r="B50" s="214"/>
      <c r="C50" s="209" t="s">
        <v>87</v>
      </c>
      <c r="D50" s="167">
        <v>5334891</v>
      </c>
      <c r="E50" s="170" t="s">
        <v>65</v>
      </c>
      <c r="F50" s="6">
        <v>0</v>
      </c>
      <c r="G50" s="6">
        <v>1</v>
      </c>
      <c r="H50" s="6">
        <v>1</v>
      </c>
      <c r="O50" s="6">
        <v>1</v>
      </c>
      <c r="U50" s="6">
        <v>0</v>
      </c>
      <c r="AE50" s="6">
        <v>2</v>
      </c>
    </row>
    <row r="51" spans="1:31" x14ac:dyDescent="0.25">
      <c r="A51" s="219"/>
      <c r="B51" s="214"/>
      <c r="C51" s="234" t="s">
        <v>106</v>
      </c>
      <c r="D51" s="167">
        <v>4146544</v>
      </c>
      <c r="E51" s="170" t="s">
        <v>65</v>
      </c>
      <c r="F51" s="6">
        <v>0</v>
      </c>
      <c r="G51" s="6">
        <v>1</v>
      </c>
      <c r="H51" s="6">
        <v>0</v>
      </c>
      <c r="U51" s="6">
        <v>0</v>
      </c>
    </row>
    <row r="52" spans="1:31" x14ac:dyDescent="0.25">
      <c r="A52" s="219" t="s">
        <v>415</v>
      </c>
      <c r="B52" s="214" t="s">
        <v>517</v>
      </c>
      <c r="C52" s="6" t="s">
        <v>265</v>
      </c>
      <c r="D52" s="163">
        <v>2664848</v>
      </c>
      <c r="E52" s="6" t="s">
        <v>242</v>
      </c>
      <c r="F52" s="170">
        <v>0</v>
      </c>
      <c r="G52" s="170">
        <v>1</v>
      </c>
      <c r="H52" s="6">
        <v>0</v>
      </c>
      <c r="U52" s="6">
        <v>0</v>
      </c>
    </row>
    <row r="53" spans="1:31" x14ac:dyDescent="0.25">
      <c r="A53" s="219"/>
      <c r="B53" s="214"/>
      <c r="C53" s="167" t="s">
        <v>63</v>
      </c>
      <c r="D53" s="167">
        <v>5395575</v>
      </c>
      <c r="E53" s="170" t="s">
        <v>40</v>
      </c>
      <c r="F53" s="6">
        <v>0</v>
      </c>
      <c r="G53" s="6">
        <v>1</v>
      </c>
      <c r="H53" s="6">
        <v>1</v>
      </c>
      <c r="K53" s="6">
        <v>1</v>
      </c>
      <c r="O53" s="6">
        <v>1</v>
      </c>
      <c r="Q53" s="6">
        <v>1</v>
      </c>
      <c r="U53" s="6">
        <v>0</v>
      </c>
      <c r="AE53" s="6">
        <v>0</v>
      </c>
    </row>
    <row r="54" spans="1:31" x14ac:dyDescent="0.25">
      <c r="A54" s="219"/>
      <c r="B54" s="214"/>
      <c r="C54" s="234" t="s">
        <v>124</v>
      </c>
      <c r="D54" s="167">
        <v>4527386</v>
      </c>
      <c r="E54" s="170" t="s">
        <v>65</v>
      </c>
      <c r="F54" s="6">
        <v>0</v>
      </c>
      <c r="G54" s="6">
        <v>1</v>
      </c>
      <c r="H54" s="6">
        <v>1</v>
      </c>
      <c r="J54" s="6">
        <v>1</v>
      </c>
      <c r="K54" s="6">
        <v>1</v>
      </c>
      <c r="Q54" s="6">
        <v>1</v>
      </c>
      <c r="U54" s="6">
        <v>0</v>
      </c>
      <c r="AE54" s="6">
        <v>2</v>
      </c>
    </row>
    <row r="55" spans="1:31" x14ac:dyDescent="0.25">
      <c r="A55" s="219"/>
      <c r="B55" s="214"/>
      <c r="C55" s="167" t="s">
        <v>39</v>
      </c>
      <c r="D55" s="167">
        <v>4851478</v>
      </c>
      <c r="E55" s="170" t="s">
        <v>40</v>
      </c>
      <c r="F55" s="6">
        <v>0</v>
      </c>
      <c r="G55" s="6">
        <v>1</v>
      </c>
      <c r="H55" s="6">
        <v>0</v>
      </c>
      <c r="U55" s="6">
        <v>0</v>
      </c>
    </row>
    <row r="56" spans="1:31" x14ac:dyDescent="0.25">
      <c r="A56" s="219"/>
      <c r="B56" s="214"/>
      <c r="C56" s="234" t="s">
        <v>105</v>
      </c>
      <c r="D56" s="167">
        <v>6600811</v>
      </c>
      <c r="E56" s="170" t="s">
        <v>65</v>
      </c>
      <c r="F56" s="6">
        <v>0</v>
      </c>
      <c r="G56" s="6">
        <v>1</v>
      </c>
      <c r="H56" s="6">
        <v>0</v>
      </c>
      <c r="U56" s="6">
        <v>0</v>
      </c>
    </row>
    <row r="57" spans="1:31" x14ac:dyDescent="0.25">
      <c r="A57" s="219"/>
      <c r="B57" s="214"/>
      <c r="C57" s="167" t="s">
        <v>135</v>
      </c>
      <c r="D57" s="167">
        <v>1535492</v>
      </c>
      <c r="E57" s="170" t="s">
        <v>65</v>
      </c>
      <c r="F57" s="6">
        <v>0</v>
      </c>
      <c r="G57" s="6">
        <v>1</v>
      </c>
      <c r="H57" s="6">
        <v>0</v>
      </c>
      <c r="U57" s="6">
        <v>0</v>
      </c>
    </row>
    <row r="58" spans="1:31" x14ac:dyDescent="0.25">
      <c r="A58" s="219"/>
      <c r="B58" s="214"/>
      <c r="C58" s="234" t="s">
        <v>132</v>
      </c>
      <c r="D58" s="167">
        <v>4765561</v>
      </c>
      <c r="E58" s="170" t="s">
        <v>65</v>
      </c>
      <c r="F58" s="6">
        <v>0</v>
      </c>
      <c r="G58" s="6">
        <v>1</v>
      </c>
      <c r="H58" s="6">
        <v>0</v>
      </c>
      <c r="U58" s="6">
        <v>0</v>
      </c>
    </row>
    <row r="59" spans="1:31" x14ac:dyDescent="0.25">
      <c r="A59" s="219" t="s">
        <v>328</v>
      </c>
      <c r="B59" s="214" t="s">
        <v>517</v>
      </c>
      <c r="C59" s="167" t="s">
        <v>297</v>
      </c>
      <c r="D59" s="167">
        <v>872301</v>
      </c>
      <c r="E59" s="167" t="s">
        <v>242</v>
      </c>
      <c r="F59" s="167">
        <v>0</v>
      </c>
      <c r="G59" s="170">
        <v>1</v>
      </c>
      <c r="H59" s="167">
        <v>0</v>
      </c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>
        <v>0</v>
      </c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</row>
    <row r="60" spans="1:31" x14ac:dyDescent="0.25">
      <c r="A60" s="219"/>
      <c r="B60" s="214"/>
      <c r="C60" s="234" t="s">
        <v>136</v>
      </c>
      <c r="D60" s="167">
        <v>6430663</v>
      </c>
      <c r="E60" s="170" t="s">
        <v>65</v>
      </c>
      <c r="F60" s="206">
        <v>1</v>
      </c>
      <c r="G60" s="206">
        <v>1</v>
      </c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</row>
    <row r="61" spans="1:31" x14ac:dyDescent="0.25">
      <c r="A61" s="219"/>
      <c r="B61" s="214"/>
      <c r="C61" s="242" t="s">
        <v>55</v>
      </c>
      <c r="D61" s="167">
        <v>2803028</v>
      </c>
      <c r="E61" s="170" t="s">
        <v>40</v>
      </c>
      <c r="F61" s="6">
        <v>0</v>
      </c>
      <c r="G61" s="6">
        <v>1</v>
      </c>
      <c r="H61" s="6">
        <v>0</v>
      </c>
      <c r="Q61" s="6">
        <v>1</v>
      </c>
      <c r="U61" s="6">
        <v>0</v>
      </c>
      <c r="AE61" s="6">
        <v>1</v>
      </c>
    </row>
    <row r="62" spans="1:31" x14ac:dyDescent="0.25">
      <c r="A62" s="219"/>
      <c r="B62" s="214"/>
      <c r="C62" s="162" t="s">
        <v>272</v>
      </c>
      <c r="D62" s="156">
        <v>5836728</v>
      </c>
      <c r="E62" s="210" t="s">
        <v>242</v>
      </c>
      <c r="F62" s="170">
        <v>0</v>
      </c>
      <c r="G62" s="170">
        <v>1</v>
      </c>
      <c r="H62" s="162">
        <v>0</v>
      </c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>
        <v>0</v>
      </c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</row>
    <row r="63" spans="1:31" x14ac:dyDescent="0.25">
      <c r="A63" s="219"/>
      <c r="B63" s="214"/>
      <c r="C63" s="185" t="s">
        <v>62</v>
      </c>
      <c r="D63" s="167">
        <v>4419787</v>
      </c>
      <c r="E63" s="170" t="s">
        <v>32</v>
      </c>
      <c r="F63" s="6">
        <v>0</v>
      </c>
      <c r="G63" s="6">
        <v>1</v>
      </c>
      <c r="H63" s="6">
        <v>1</v>
      </c>
      <c r="K63" s="6">
        <v>1</v>
      </c>
      <c r="M63" s="6">
        <v>1</v>
      </c>
      <c r="U63" s="6">
        <v>0</v>
      </c>
      <c r="AE63" s="6">
        <v>1</v>
      </c>
    </row>
    <row r="64" spans="1:31" x14ac:dyDescent="0.25">
      <c r="A64" s="219"/>
      <c r="B64" s="214"/>
      <c r="C64" s="234" t="s">
        <v>77</v>
      </c>
      <c r="D64" s="167">
        <v>6428654</v>
      </c>
      <c r="E64" s="170" t="s">
        <v>65</v>
      </c>
      <c r="F64" s="6">
        <v>0</v>
      </c>
      <c r="G64" s="6">
        <v>1</v>
      </c>
      <c r="H64" s="6">
        <v>1</v>
      </c>
      <c r="K64" s="6">
        <v>1</v>
      </c>
      <c r="U64" s="6">
        <v>0</v>
      </c>
      <c r="AD64" s="6">
        <v>1</v>
      </c>
    </row>
    <row r="65" spans="1:31" x14ac:dyDescent="0.25">
      <c r="A65" s="219"/>
      <c r="B65" s="214"/>
      <c r="C65" s="208" t="s">
        <v>95</v>
      </c>
      <c r="D65" s="167">
        <v>2307308</v>
      </c>
      <c r="E65" s="170" t="s">
        <v>65</v>
      </c>
      <c r="F65" s="206">
        <v>1</v>
      </c>
      <c r="G65" s="206">
        <v>1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6"/>
      <c r="AB65" s="206"/>
      <c r="AC65" s="206"/>
      <c r="AD65" s="206"/>
      <c r="AE65" s="206"/>
    </row>
    <row r="66" spans="1:31" x14ac:dyDescent="0.25">
      <c r="A66" s="219"/>
      <c r="B66" s="214"/>
      <c r="C66" s="167" t="s">
        <v>134</v>
      </c>
      <c r="D66" s="167">
        <v>6742386</v>
      </c>
      <c r="E66" s="170" t="s">
        <v>65</v>
      </c>
      <c r="F66" s="6">
        <v>0</v>
      </c>
      <c r="G66" s="6">
        <v>1</v>
      </c>
      <c r="H66" s="6">
        <v>0</v>
      </c>
      <c r="U66" s="6">
        <v>0</v>
      </c>
      <c r="AD66" s="6">
        <v>1</v>
      </c>
      <c r="AE66" s="6">
        <v>2</v>
      </c>
    </row>
    <row r="67" spans="1:31" x14ac:dyDescent="0.25">
      <c r="A67" s="219"/>
      <c r="B67" s="214"/>
      <c r="C67" s="234" t="s">
        <v>100</v>
      </c>
      <c r="D67" s="167">
        <v>1022690</v>
      </c>
      <c r="E67" s="170" t="s">
        <v>65</v>
      </c>
      <c r="F67" s="6">
        <v>0</v>
      </c>
      <c r="G67" s="6">
        <v>1</v>
      </c>
      <c r="H67" s="6">
        <v>1</v>
      </c>
      <c r="K67" s="6">
        <v>1</v>
      </c>
      <c r="O67" s="6">
        <v>1</v>
      </c>
      <c r="Q67" s="6">
        <v>1</v>
      </c>
      <c r="U67" s="6">
        <v>0</v>
      </c>
    </row>
    <row r="68" spans="1:31" x14ac:dyDescent="0.25">
      <c r="A68" s="219" t="s">
        <v>435</v>
      </c>
      <c r="B68" s="215" t="s">
        <v>518</v>
      </c>
      <c r="C68" s="236" t="s">
        <v>299</v>
      </c>
      <c r="D68" s="6">
        <v>3540097</v>
      </c>
      <c r="E68" s="6" t="s">
        <v>242</v>
      </c>
      <c r="F68" s="6">
        <v>0</v>
      </c>
      <c r="G68" s="170">
        <v>1</v>
      </c>
      <c r="H68" s="167">
        <v>1</v>
      </c>
      <c r="K68" s="6">
        <v>1</v>
      </c>
      <c r="L68" s="6">
        <v>1</v>
      </c>
      <c r="O68" s="6">
        <v>1</v>
      </c>
      <c r="U68" s="167">
        <v>0</v>
      </c>
    </row>
    <row r="69" spans="1:31" x14ac:dyDescent="0.25">
      <c r="A69" s="219"/>
      <c r="B69" s="214"/>
      <c r="C69" s="167" t="s">
        <v>72</v>
      </c>
      <c r="D69" s="167">
        <v>4855890</v>
      </c>
      <c r="E69" s="170" t="s">
        <v>73</v>
      </c>
      <c r="F69" s="6">
        <v>0</v>
      </c>
      <c r="G69" s="6">
        <v>1</v>
      </c>
      <c r="H69" s="6">
        <v>1</v>
      </c>
      <c r="K69" s="6">
        <v>1</v>
      </c>
      <c r="O69" s="6">
        <v>1</v>
      </c>
      <c r="U69" s="6">
        <v>0</v>
      </c>
      <c r="AE69" s="6">
        <v>2</v>
      </c>
    </row>
    <row r="70" spans="1:31" x14ac:dyDescent="0.25">
      <c r="A70" s="219"/>
      <c r="B70" s="214"/>
      <c r="C70" s="234" t="s">
        <v>296</v>
      </c>
      <c r="D70" s="167">
        <v>6502699</v>
      </c>
      <c r="E70" s="167" t="s">
        <v>242</v>
      </c>
      <c r="F70" s="170">
        <v>0</v>
      </c>
      <c r="G70" s="170">
        <v>1</v>
      </c>
      <c r="H70" s="167">
        <v>0</v>
      </c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>
        <v>0</v>
      </c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</row>
    <row r="71" spans="1:31" x14ac:dyDescent="0.25">
      <c r="A71" s="219" t="s">
        <v>401</v>
      </c>
      <c r="B71" s="214" t="s">
        <v>517</v>
      </c>
      <c r="C71" s="186" t="s">
        <v>270</v>
      </c>
      <c r="D71" s="186">
        <v>2447128</v>
      </c>
      <c r="E71" s="186" t="s">
        <v>242</v>
      </c>
      <c r="F71" s="170" t="s">
        <v>172</v>
      </c>
      <c r="G71" s="186">
        <v>0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</row>
    <row r="72" spans="1:31" x14ac:dyDescent="0.25">
      <c r="A72" s="219"/>
      <c r="B72" s="214"/>
      <c r="C72" s="170" t="s">
        <v>273</v>
      </c>
      <c r="D72" s="170">
        <v>6232438</v>
      </c>
      <c r="E72" s="170" t="s">
        <v>242</v>
      </c>
      <c r="F72" s="170">
        <v>0</v>
      </c>
      <c r="G72" s="170">
        <v>1</v>
      </c>
      <c r="H72" s="170">
        <v>0</v>
      </c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>
        <v>0</v>
      </c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</row>
    <row r="73" spans="1:31" x14ac:dyDescent="0.25">
      <c r="A73" s="219"/>
      <c r="B73" s="214"/>
      <c r="C73" s="234" t="s">
        <v>94</v>
      </c>
      <c r="D73" s="167">
        <v>1827901</v>
      </c>
      <c r="E73" s="170" t="s">
        <v>65</v>
      </c>
      <c r="F73" s="6">
        <v>0</v>
      </c>
      <c r="G73" s="6">
        <v>1</v>
      </c>
      <c r="H73" s="6">
        <v>1</v>
      </c>
      <c r="K73" s="6">
        <v>1</v>
      </c>
      <c r="Q73" s="6">
        <v>1</v>
      </c>
      <c r="U73" s="6">
        <v>0</v>
      </c>
    </row>
    <row r="74" spans="1:31" x14ac:dyDescent="0.25">
      <c r="A74" s="219"/>
      <c r="B74" s="214"/>
      <c r="C74" s="240" t="s">
        <v>165</v>
      </c>
      <c r="D74" s="240" t="s">
        <v>166</v>
      </c>
      <c r="E74" s="6" t="s">
        <v>148</v>
      </c>
      <c r="F74" s="6">
        <v>0</v>
      </c>
      <c r="G74" s="6">
        <v>1</v>
      </c>
      <c r="H74" s="6">
        <v>1</v>
      </c>
      <c r="K74" s="6">
        <v>1</v>
      </c>
      <c r="O74" s="6">
        <v>1</v>
      </c>
      <c r="Q74" s="6">
        <v>1</v>
      </c>
      <c r="U74" s="6">
        <v>0</v>
      </c>
      <c r="AD74" s="6">
        <v>1</v>
      </c>
      <c r="AE74" s="6">
        <v>0</v>
      </c>
    </row>
    <row r="75" spans="1:31" x14ac:dyDescent="0.25">
      <c r="A75" s="219"/>
      <c r="B75" s="214"/>
      <c r="C75" s="155" t="s">
        <v>261</v>
      </c>
      <c r="D75" s="156">
        <v>5030650</v>
      </c>
      <c r="E75" s="170" t="s">
        <v>242</v>
      </c>
      <c r="F75" s="6">
        <v>1</v>
      </c>
      <c r="G75" s="170">
        <v>1</v>
      </c>
      <c r="H75" s="6" t="s">
        <v>172</v>
      </c>
      <c r="U75" s="6" t="s">
        <v>172</v>
      </c>
    </row>
    <row r="76" spans="1:31" x14ac:dyDescent="0.25">
      <c r="A76" s="219"/>
      <c r="B76" s="214"/>
      <c r="C76" s="234" t="s">
        <v>60</v>
      </c>
      <c r="D76" s="167">
        <v>6195907</v>
      </c>
      <c r="E76" s="170" t="s">
        <v>32</v>
      </c>
      <c r="F76" s="6">
        <v>0</v>
      </c>
      <c r="G76" s="6">
        <v>1</v>
      </c>
      <c r="H76" s="6">
        <v>0</v>
      </c>
      <c r="U76" s="6">
        <v>0</v>
      </c>
      <c r="AE76" s="6">
        <v>1</v>
      </c>
    </row>
    <row r="77" spans="1:31" x14ac:dyDescent="0.25">
      <c r="A77" s="216"/>
      <c r="B77" s="216"/>
      <c r="C77" s="155" t="s">
        <v>187</v>
      </c>
      <c r="D77" s="156">
        <v>5441069</v>
      </c>
      <c r="E77" s="170" t="s">
        <v>171</v>
      </c>
      <c r="F77" s="170">
        <v>0</v>
      </c>
      <c r="G77" s="170">
        <v>1</v>
      </c>
      <c r="H77" s="6">
        <v>0</v>
      </c>
      <c r="U77" s="6">
        <v>0</v>
      </c>
    </row>
    <row r="78" spans="1:31" x14ac:dyDescent="0.25">
      <c r="C78" s="167" t="s">
        <v>91</v>
      </c>
      <c r="D78" s="167">
        <v>5209809</v>
      </c>
      <c r="E78" s="170" t="s">
        <v>65</v>
      </c>
      <c r="F78" s="6">
        <v>0</v>
      </c>
      <c r="G78" s="6">
        <v>1</v>
      </c>
      <c r="H78" s="6">
        <v>0</v>
      </c>
      <c r="U78" s="6">
        <v>0</v>
      </c>
      <c r="AE78" s="6">
        <v>1</v>
      </c>
    </row>
    <row r="79" spans="1:31" x14ac:dyDescent="0.25">
      <c r="C79" s="234" t="s">
        <v>98</v>
      </c>
      <c r="D79" s="167">
        <v>5400588</v>
      </c>
      <c r="E79" s="170" t="s">
        <v>65</v>
      </c>
      <c r="F79" s="6">
        <v>0</v>
      </c>
      <c r="G79" s="6">
        <v>1</v>
      </c>
      <c r="H79" s="6">
        <v>2</v>
      </c>
      <c r="K79" s="6">
        <v>2</v>
      </c>
      <c r="O79" s="6">
        <v>1</v>
      </c>
      <c r="Q79" s="6">
        <v>1</v>
      </c>
      <c r="R79" s="6">
        <v>1</v>
      </c>
      <c r="U79" s="6">
        <v>0</v>
      </c>
      <c r="AE79" s="6">
        <v>2</v>
      </c>
    </row>
    <row r="80" spans="1:31" x14ac:dyDescent="0.25">
      <c r="C80" s="170" t="s">
        <v>33</v>
      </c>
      <c r="D80" s="170">
        <v>1984126</v>
      </c>
      <c r="E80" s="170" t="s">
        <v>32</v>
      </c>
      <c r="F80" s="6">
        <v>0</v>
      </c>
      <c r="G80" s="6">
        <v>1</v>
      </c>
      <c r="H80" s="6">
        <v>0</v>
      </c>
      <c r="U80" s="6">
        <v>0</v>
      </c>
    </row>
    <row r="81" spans="1:31" x14ac:dyDescent="0.25">
      <c r="C81" s="234" t="s">
        <v>125</v>
      </c>
      <c r="D81" s="167">
        <v>4800599</v>
      </c>
      <c r="E81" s="170" t="s">
        <v>65</v>
      </c>
      <c r="F81" s="6">
        <v>0</v>
      </c>
      <c r="G81" s="6">
        <v>1</v>
      </c>
      <c r="H81" s="6">
        <v>0</v>
      </c>
      <c r="U81" s="6">
        <v>0</v>
      </c>
      <c r="AE81" s="6">
        <v>2</v>
      </c>
    </row>
    <row r="82" spans="1:31" x14ac:dyDescent="0.25">
      <c r="C82" s="167" t="s">
        <v>118</v>
      </c>
      <c r="D82" s="167">
        <v>3621453</v>
      </c>
      <c r="E82" s="170" t="s">
        <v>65</v>
      </c>
      <c r="F82" s="206">
        <v>1</v>
      </c>
      <c r="G82" s="206">
        <v>1</v>
      </c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  <c r="AE82" s="206"/>
    </row>
    <row r="83" spans="1:31" x14ac:dyDescent="0.25">
      <c r="C83" s="234" t="s">
        <v>78</v>
      </c>
      <c r="D83" s="167">
        <v>5874563</v>
      </c>
      <c r="E83" s="170" t="s">
        <v>65</v>
      </c>
      <c r="F83" s="6">
        <v>0</v>
      </c>
      <c r="G83" s="6">
        <v>1</v>
      </c>
      <c r="H83" s="6">
        <v>1</v>
      </c>
      <c r="Q83" s="6">
        <v>1</v>
      </c>
      <c r="U83" s="6">
        <v>0</v>
      </c>
      <c r="AE83" s="6">
        <v>1</v>
      </c>
    </row>
    <row r="84" spans="1:31" x14ac:dyDescent="0.25">
      <c r="A84" s="216" t="s">
        <v>313</v>
      </c>
      <c r="B84" s="216" t="s">
        <v>518</v>
      </c>
      <c r="C84" s="234" t="s">
        <v>229</v>
      </c>
      <c r="D84" s="152">
        <v>400664</v>
      </c>
      <c r="E84" s="167" t="s">
        <v>171</v>
      </c>
      <c r="F84" s="170">
        <v>0</v>
      </c>
      <c r="G84" s="170">
        <v>1</v>
      </c>
      <c r="H84" s="167">
        <v>1</v>
      </c>
      <c r="I84" s="167"/>
      <c r="J84" s="167"/>
      <c r="K84" s="167"/>
      <c r="L84" s="167"/>
      <c r="M84" s="167"/>
      <c r="N84" s="167"/>
      <c r="O84" s="167">
        <v>1</v>
      </c>
      <c r="P84" s="167"/>
      <c r="Q84" s="167"/>
      <c r="R84" s="167"/>
      <c r="S84" s="167"/>
      <c r="T84" s="167"/>
      <c r="U84" s="167">
        <v>0</v>
      </c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</row>
    <row r="85" spans="1:31" x14ac:dyDescent="0.25">
      <c r="C85" s="234" t="s">
        <v>79</v>
      </c>
      <c r="D85" s="167">
        <v>2950188</v>
      </c>
      <c r="E85" s="170" t="s">
        <v>65</v>
      </c>
      <c r="F85" s="6">
        <v>0</v>
      </c>
      <c r="G85" s="6">
        <v>1</v>
      </c>
      <c r="H85" s="6">
        <v>2</v>
      </c>
      <c r="K85" s="6">
        <v>1</v>
      </c>
      <c r="L85" s="6">
        <v>1</v>
      </c>
      <c r="O85" s="6">
        <v>2</v>
      </c>
      <c r="Q85" s="6">
        <v>1</v>
      </c>
      <c r="U85" s="6">
        <v>0</v>
      </c>
      <c r="AE85" s="6">
        <v>1</v>
      </c>
    </row>
    <row r="86" spans="1:31" x14ac:dyDescent="0.25">
      <c r="C86" s="234" t="s">
        <v>129</v>
      </c>
      <c r="D86" s="167">
        <v>1599183</v>
      </c>
      <c r="E86" s="170" t="s">
        <v>65</v>
      </c>
      <c r="F86" s="6">
        <v>0</v>
      </c>
      <c r="G86" s="6">
        <v>1</v>
      </c>
      <c r="H86" s="6">
        <v>1</v>
      </c>
      <c r="K86" s="6">
        <v>1</v>
      </c>
      <c r="O86" s="6">
        <v>1</v>
      </c>
      <c r="U86" s="6">
        <v>1</v>
      </c>
      <c r="X86" s="6">
        <v>1</v>
      </c>
      <c r="AE86" s="6">
        <v>2</v>
      </c>
    </row>
    <row r="87" spans="1:31" x14ac:dyDescent="0.25">
      <c r="C87" s="192" t="s">
        <v>144</v>
      </c>
      <c r="D87" s="244" t="s">
        <v>145</v>
      </c>
      <c r="E87" s="6" t="s">
        <v>36</v>
      </c>
      <c r="F87" s="6">
        <v>0</v>
      </c>
      <c r="G87" s="6">
        <v>1</v>
      </c>
      <c r="H87" s="6">
        <v>1</v>
      </c>
      <c r="L87" s="6">
        <v>1</v>
      </c>
      <c r="O87" s="6">
        <v>1</v>
      </c>
      <c r="U87" s="6">
        <v>0</v>
      </c>
      <c r="AE87" s="6">
        <v>1</v>
      </c>
    </row>
    <row r="88" spans="1:31" x14ac:dyDescent="0.25">
      <c r="C88" s="234" t="s">
        <v>64</v>
      </c>
      <c r="D88" s="167">
        <v>6463964</v>
      </c>
      <c r="E88" s="170" t="s">
        <v>65</v>
      </c>
      <c r="F88" s="6">
        <v>0</v>
      </c>
      <c r="G88" s="6">
        <v>1</v>
      </c>
      <c r="H88" s="6">
        <v>1</v>
      </c>
      <c r="K88" s="6">
        <v>1</v>
      </c>
      <c r="O88" s="6">
        <v>1</v>
      </c>
      <c r="U88" s="6">
        <v>1</v>
      </c>
      <c r="W88" s="6">
        <v>1</v>
      </c>
      <c r="X88" s="6">
        <v>1</v>
      </c>
      <c r="AD88" s="6">
        <v>1</v>
      </c>
      <c r="AE88" s="6">
        <v>1</v>
      </c>
    </row>
    <row r="89" spans="1:31" x14ac:dyDescent="0.25">
      <c r="C89" s="234" t="s">
        <v>97</v>
      </c>
      <c r="D89" s="167">
        <v>1650342</v>
      </c>
      <c r="E89" s="170" t="s">
        <v>65</v>
      </c>
      <c r="F89" s="6">
        <v>0</v>
      </c>
      <c r="G89" s="6">
        <v>1</v>
      </c>
      <c r="H89" s="6">
        <v>1</v>
      </c>
      <c r="K89" s="6">
        <v>1</v>
      </c>
      <c r="O89" s="6">
        <v>1</v>
      </c>
      <c r="Q89" s="6">
        <v>1</v>
      </c>
      <c r="U89" s="6">
        <v>0</v>
      </c>
      <c r="AD89" s="6">
        <v>1</v>
      </c>
      <c r="AE89" s="6">
        <v>2</v>
      </c>
    </row>
    <row r="90" spans="1:31" x14ac:dyDescent="0.25">
      <c r="C90" s="234" t="s">
        <v>76</v>
      </c>
      <c r="D90" s="167">
        <v>897445</v>
      </c>
      <c r="E90" s="170" t="s">
        <v>65</v>
      </c>
      <c r="F90" s="6">
        <v>0</v>
      </c>
      <c r="G90" s="6">
        <v>1</v>
      </c>
      <c r="H90" s="6">
        <v>0</v>
      </c>
      <c r="Q90" s="6">
        <v>1</v>
      </c>
      <c r="U90" s="6">
        <v>0</v>
      </c>
      <c r="AE90" s="6">
        <v>1</v>
      </c>
    </row>
    <row r="91" spans="1:31" x14ac:dyDescent="0.25">
      <c r="A91" s="216" t="s">
        <v>312</v>
      </c>
      <c r="B91" s="216" t="s">
        <v>517</v>
      </c>
      <c r="C91" s="167" t="s">
        <v>294</v>
      </c>
      <c r="D91" s="167">
        <v>363876</v>
      </c>
      <c r="E91" s="167" t="s">
        <v>242</v>
      </c>
      <c r="F91" s="170">
        <v>0</v>
      </c>
      <c r="G91" s="170">
        <v>1</v>
      </c>
      <c r="H91" s="167">
        <v>0</v>
      </c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>
        <v>1</v>
      </c>
      <c r="V91" s="167"/>
      <c r="W91" s="167">
        <v>1</v>
      </c>
      <c r="X91" s="167"/>
      <c r="Y91" s="167"/>
      <c r="Z91" s="167"/>
      <c r="AA91" s="167"/>
      <c r="AB91" s="167"/>
      <c r="AC91" s="167"/>
      <c r="AD91" s="167"/>
      <c r="AE91" s="167"/>
    </row>
    <row r="92" spans="1:31" x14ac:dyDescent="0.25">
      <c r="A92" s="216" t="s">
        <v>309</v>
      </c>
      <c r="B92" s="216" t="s">
        <v>517</v>
      </c>
      <c r="C92" s="170" t="s">
        <v>271</v>
      </c>
      <c r="D92" s="170">
        <v>107002</v>
      </c>
      <c r="E92" s="6" t="s">
        <v>242</v>
      </c>
      <c r="F92" s="170">
        <v>0</v>
      </c>
      <c r="G92" s="170">
        <v>1</v>
      </c>
      <c r="H92" s="6">
        <v>0</v>
      </c>
      <c r="U92" s="6">
        <v>0</v>
      </c>
    </row>
    <row r="93" spans="1:31" x14ac:dyDescent="0.25">
      <c r="C93" s="234" t="s">
        <v>109</v>
      </c>
      <c r="D93" s="167">
        <v>5174479</v>
      </c>
      <c r="E93" s="170" t="s">
        <v>65</v>
      </c>
      <c r="F93" s="6">
        <v>0</v>
      </c>
      <c r="G93" s="6">
        <v>1</v>
      </c>
      <c r="H93" s="6">
        <v>2</v>
      </c>
      <c r="K93" s="6">
        <v>2</v>
      </c>
      <c r="L93" s="6">
        <v>1</v>
      </c>
      <c r="M93" s="6">
        <v>1</v>
      </c>
      <c r="O93" s="6">
        <v>1</v>
      </c>
      <c r="U93" s="6">
        <v>1</v>
      </c>
      <c r="Z93" s="6">
        <v>1</v>
      </c>
      <c r="AE93" s="6">
        <v>2</v>
      </c>
    </row>
    <row r="94" spans="1:31" x14ac:dyDescent="0.25">
      <c r="C94" s="234" t="s">
        <v>99</v>
      </c>
      <c r="D94" s="167">
        <v>3936017</v>
      </c>
      <c r="E94" s="170" t="s">
        <v>65</v>
      </c>
      <c r="F94" s="6">
        <v>0</v>
      </c>
      <c r="G94" s="6">
        <v>1</v>
      </c>
      <c r="H94" s="6">
        <v>1</v>
      </c>
      <c r="K94" s="6">
        <v>1</v>
      </c>
      <c r="O94" s="6">
        <v>1</v>
      </c>
      <c r="U94" s="6">
        <v>1</v>
      </c>
      <c r="AB94" s="6">
        <v>1</v>
      </c>
      <c r="AE94" s="6">
        <v>2</v>
      </c>
    </row>
    <row r="95" spans="1:31" x14ac:dyDescent="0.25">
      <c r="A95" s="216" t="s">
        <v>448</v>
      </c>
      <c r="B95" s="216" t="s">
        <v>517</v>
      </c>
      <c r="C95" s="155" t="s">
        <v>188</v>
      </c>
      <c r="D95" s="156">
        <v>3769948</v>
      </c>
      <c r="E95" s="170" t="s">
        <v>171</v>
      </c>
      <c r="F95" s="170">
        <v>0</v>
      </c>
      <c r="G95" s="170">
        <v>1</v>
      </c>
      <c r="H95" s="6">
        <v>0</v>
      </c>
      <c r="U95" s="6">
        <v>2</v>
      </c>
      <c r="Z95" s="6">
        <v>2</v>
      </c>
      <c r="AC95" s="6" t="s">
        <v>521</v>
      </c>
    </row>
    <row r="96" spans="1:31" ht="15.75" x14ac:dyDescent="0.25">
      <c r="A96" s="216" t="s">
        <v>332</v>
      </c>
      <c r="B96" s="216" t="s">
        <v>518</v>
      </c>
      <c r="C96" s="245" t="s">
        <v>189</v>
      </c>
      <c r="D96" s="156">
        <v>937504</v>
      </c>
      <c r="E96" s="170" t="s">
        <v>171</v>
      </c>
      <c r="F96" s="170">
        <v>0</v>
      </c>
      <c r="G96" s="186">
        <v>1</v>
      </c>
      <c r="H96" s="6">
        <v>2</v>
      </c>
      <c r="K96" s="6">
        <v>2</v>
      </c>
      <c r="L96" s="6">
        <v>2</v>
      </c>
      <c r="O96" s="6">
        <v>2</v>
      </c>
      <c r="U96" s="6">
        <v>2</v>
      </c>
      <c r="X96" s="6">
        <v>2</v>
      </c>
    </row>
    <row r="97" spans="1:31" x14ac:dyDescent="0.25">
      <c r="A97" s="216" t="s">
        <v>433</v>
      </c>
      <c r="B97" s="216" t="s">
        <v>517</v>
      </c>
      <c r="C97" s="236" t="s">
        <v>235</v>
      </c>
      <c r="D97" s="163">
        <v>3508326</v>
      </c>
      <c r="E97" s="6" t="s">
        <v>171</v>
      </c>
      <c r="F97" s="170">
        <v>0</v>
      </c>
      <c r="G97" s="170">
        <v>1</v>
      </c>
      <c r="H97" s="167">
        <v>2</v>
      </c>
      <c r="K97" s="6">
        <v>2</v>
      </c>
      <c r="L97" s="6">
        <v>2</v>
      </c>
      <c r="O97" s="6">
        <v>1</v>
      </c>
      <c r="T97" s="6" t="s">
        <v>522</v>
      </c>
      <c r="U97" s="167">
        <v>1</v>
      </c>
      <c r="Z97" s="6">
        <v>1</v>
      </c>
      <c r="AC97" s="6" t="s">
        <v>523</v>
      </c>
    </row>
    <row r="98" spans="1:31" x14ac:dyDescent="0.25">
      <c r="C98" s="167" t="s">
        <v>93</v>
      </c>
      <c r="D98" s="167">
        <v>3654890</v>
      </c>
      <c r="E98" s="170" t="s">
        <v>65</v>
      </c>
      <c r="F98" s="6">
        <v>0</v>
      </c>
      <c r="G98" s="6">
        <v>1</v>
      </c>
      <c r="H98" s="6">
        <v>0</v>
      </c>
      <c r="U98" s="6">
        <v>0</v>
      </c>
      <c r="AE98" s="6">
        <v>2</v>
      </c>
    </row>
    <row r="99" spans="1:31" x14ac:dyDescent="0.25">
      <c r="C99" s="234" t="s">
        <v>82</v>
      </c>
      <c r="D99" s="167">
        <v>5122359</v>
      </c>
      <c r="E99" s="170" t="s">
        <v>65</v>
      </c>
      <c r="F99" s="6">
        <v>0</v>
      </c>
      <c r="G99" s="6">
        <v>1</v>
      </c>
      <c r="H99" s="6">
        <v>1</v>
      </c>
      <c r="K99" s="6">
        <v>1</v>
      </c>
      <c r="O99" s="6">
        <v>1</v>
      </c>
      <c r="Q99" s="6">
        <v>1</v>
      </c>
      <c r="U99" s="6">
        <v>0</v>
      </c>
    </row>
    <row r="100" spans="1:31" x14ac:dyDescent="0.25">
      <c r="A100" s="216" t="s">
        <v>323</v>
      </c>
      <c r="B100" s="216" t="s">
        <v>517</v>
      </c>
      <c r="C100" s="234" t="s">
        <v>214</v>
      </c>
      <c r="D100" s="152">
        <v>824495</v>
      </c>
      <c r="E100" s="167" t="s">
        <v>171</v>
      </c>
      <c r="F100" s="170">
        <v>0</v>
      </c>
      <c r="G100" s="170">
        <v>1</v>
      </c>
      <c r="H100" s="167">
        <v>1</v>
      </c>
      <c r="I100" s="167"/>
      <c r="J100" s="167"/>
      <c r="K100" s="167">
        <v>1</v>
      </c>
      <c r="L100" s="167"/>
      <c r="M100" s="167">
        <v>1</v>
      </c>
      <c r="N100" s="167"/>
      <c r="O100" s="167">
        <v>1</v>
      </c>
      <c r="P100" s="167"/>
      <c r="Q100" s="167">
        <v>1</v>
      </c>
      <c r="R100" s="167"/>
      <c r="S100" s="167"/>
      <c r="T100" s="167"/>
      <c r="U100" s="167">
        <v>0</v>
      </c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</row>
    <row r="101" spans="1:31" x14ac:dyDescent="0.25">
      <c r="A101" s="216"/>
      <c r="B101" s="216"/>
      <c r="C101" s="162" t="s">
        <v>205</v>
      </c>
      <c r="D101" s="156">
        <v>6264080</v>
      </c>
      <c r="E101" s="162" t="s">
        <v>171</v>
      </c>
      <c r="F101" s="170">
        <v>0</v>
      </c>
      <c r="G101" s="170">
        <v>1</v>
      </c>
      <c r="H101" s="162">
        <v>1</v>
      </c>
      <c r="K101" s="6">
        <v>1</v>
      </c>
      <c r="U101" s="6">
        <v>0</v>
      </c>
    </row>
    <row r="102" spans="1:31" x14ac:dyDescent="0.25">
      <c r="C102" s="167" t="s">
        <v>131</v>
      </c>
      <c r="D102" s="167">
        <v>6756888</v>
      </c>
      <c r="E102" s="167" t="s">
        <v>65</v>
      </c>
      <c r="F102" s="6">
        <v>0</v>
      </c>
      <c r="G102" s="6">
        <v>1</v>
      </c>
      <c r="H102" s="6">
        <v>2</v>
      </c>
      <c r="O102" s="6">
        <v>2</v>
      </c>
      <c r="U102" s="6">
        <v>0</v>
      </c>
      <c r="AE102" s="6">
        <v>2</v>
      </c>
    </row>
    <row r="103" spans="1:31" x14ac:dyDescent="0.25">
      <c r="C103" s="93" t="s">
        <v>169</v>
      </c>
      <c r="D103" s="93">
        <v>6229308</v>
      </c>
      <c r="E103" s="6" t="s">
        <v>141</v>
      </c>
      <c r="F103" s="6">
        <v>0</v>
      </c>
      <c r="G103" s="6">
        <v>1</v>
      </c>
      <c r="H103" s="6">
        <v>1</v>
      </c>
      <c r="K103" s="6">
        <v>1</v>
      </c>
      <c r="O103" s="6">
        <v>1</v>
      </c>
      <c r="Q103" s="6">
        <v>1</v>
      </c>
      <c r="U103" s="6">
        <v>0</v>
      </c>
    </row>
    <row r="104" spans="1:31" s="207" customFormat="1" x14ac:dyDescent="0.25">
      <c r="A104" s="216"/>
      <c r="B104" s="216"/>
      <c r="C104" s="167" t="s">
        <v>284</v>
      </c>
      <c r="D104" s="152">
        <v>6523443</v>
      </c>
      <c r="E104" s="167" t="s">
        <v>242</v>
      </c>
      <c r="F104" s="170">
        <v>0</v>
      </c>
      <c r="G104" s="170">
        <v>1</v>
      </c>
      <c r="H104" s="167">
        <v>0</v>
      </c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>
        <v>0</v>
      </c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</row>
    <row r="105" spans="1:31" x14ac:dyDescent="0.25">
      <c r="A105" s="216" t="s">
        <v>445</v>
      </c>
      <c r="B105" s="246"/>
      <c r="C105" s="170" t="s">
        <v>204</v>
      </c>
      <c r="D105" s="156">
        <v>3725958</v>
      </c>
      <c r="E105" s="170" t="s">
        <v>171</v>
      </c>
      <c r="F105" s="170">
        <v>0</v>
      </c>
      <c r="G105" s="170">
        <v>1</v>
      </c>
      <c r="H105" s="170">
        <v>0</v>
      </c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>
        <v>0</v>
      </c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</row>
    <row r="106" spans="1:31" x14ac:dyDescent="0.25">
      <c r="A106" s="216"/>
      <c r="B106" s="216"/>
      <c r="C106" s="170" t="s">
        <v>228</v>
      </c>
      <c r="D106" s="156">
        <v>5119987</v>
      </c>
      <c r="E106" s="170" t="s">
        <v>171</v>
      </c>
      <c r="F106" s="170">
        <v>0</v>
      </c>
      <c r="G106" s="170">
        <v>1</v>
      </c>
      <c r="H106" s="170">
        <v>1</v>
      </c>
      <c r="I106" s="170"/>
      <c r="J106" s="170"/>
      <c r="K106" s="170">
        <v>1</v>
      </c>
      <c r="L106" s="170"/>
      <c r="M106" s="170"/>
      <c r="N106" s="170"/>
      <c r="O106" s="170">
        <v>1</v>
      </c>
      <c r="P106" s="170"/>
      <c r="Q106" s="170"/>
      <c r="R106" s="170"/>
      <c r="S106" s="170"/>
      <c r="T106" s="170"/>
      <c r="U106" s="170">
        <v>0</v>
      </c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</row>
    <row r="107" spans="1:31" x14ac:dyDescent="0.25">
      <c r="C107" s="234" t="s">
        <v>53</v>
      </c>
      <c r="D107" s="167">
        <v>327692</v>
      </c>
      <c r="E107" s="170" t="s">
        <v>32</v>
      </c>
      <c r="F107" s="206">
        <v>1</v>
      </c>
      <c r="G107" s="206">
        <v>1</v>
      </c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  <c r="AE107" s="206"/>
    </row>
    <row r="108" spans="1:31" x14ac:dyDescent="0.25">
      <c r="A108" s="216"/>
      <c r="B108" s="216"/>
      <c r="C108" s="155" t="s">
        <v>178</v>
      </c>
      <c r="D108" s="156">
        <v>5400722</v>
      </c>
      <c r="E108" s="170" t="s">
        <v>171</v>
      </c>
      <c r="F108" s="170">
        <v>0</v>
      </c>
      <c r="G108" s="170">
        <v>1</v>
      </c>
      <c r="H108" s="6">
        <v>2</v>
      </c>
      <c r="K108" s="6">
        <v>2</v>
      </c>
      <c r="U108" s="6">
        <v>0</v>
      </c>
    </row>
    <row r="109" spans="1:31" x14ac:dyDescent="0.25">
      <c r="A109" s="216" t="s">
        <v>330</v>
      </c>
      <c r="B109" s="216" t="s">
        <v>517</v>
      </c>
      <c r="C109" s="155" t="s">
        <v>174</v>
      </c>
      <c r="D109" s="243">
        <v>873673</v>
      </c>
      <c r="E109" s="170" t="s">
        <v>171</v>
      </c>
      <c r="F109" s="170">
        <v>0</v>
      </c>
      <c r="G109" s="170">
        <v>1</v>
      </c>
      <c r="H109" s="6">
        <v>2</v>
      </c>
      <c r="K109" s="6">
        <v>2</v>
      </c>
      <c r="O109" s="6">
        <v>2</v>
      </c>
      <c r="P109" s="6">
        <v>2</v>
      </c>
      <c r="T109" s="6" t="s">
        <v>524</v>
      </c>
      <c r="U109" s="6">
        <v>0</v>
      </c>
    </row>
    <row r="110" spans="1:31" x14ac:dyDescent="0.25">
      <c r="C110" s="167" t="s">
        <v>130</v>
      </c>
      <c r="D110" s="167">
        <v>6744097</v>
      </c>
      <c r="E110" s="170" t="s">
        <v>65</v>
      </c>
      <c r="F110" s="6">
        <v>0</v>
      </c>
      <c r="G110" s="6">
        <v>1</v>
      </c>
      <c r="H110" s="6">
        <v>1</v>
      </c>
      <c r="O110" s="6">
        <v>1</v>
      </c>
      <c r="U110" s="6">
        <v>0</v>
      </c>
      <c r="AE110" s="6">
        <v>2</v>
      </c>
    </row>
    <row r="111" spans="1:31" x14ac:dyDescent="0.25">
      <c r="A111" s="216" t="s">
        <v>444</v>
      </c>
      <c r="B111" s="216" t="s">
        <v>517</v>
      </c>
      <c r="C111" s="6" t="s">
        <v>282</v>
      </c>
      <c r="D111" s="163">
        <v>3711750</v>
      </c>
      <c r="E111" s="6" t="s">
        <v>242</v>
      </c>
      <c r="F111" s="170">
        <v>0</v>
      </c>
      <c r="G111" s="170">
        <v>1</v>
      </c>
      <c r="H111" s="6">
        <v>1</v>
      </c>
      <c r="K111" s="6">
        <v>1</v>
      </c>
      <c r="U111" s="6">
        <v>0</v>
      </c>
    </row>
    <row r="112" spans="1:31" x14ac:dyDescent="0.25">
      <c r="C112" s="227" t="s">
        <v>142</v>
      </c>
      <c r="D112" s="247" t="s">
        <v>143</v>
      </c>
      <c r="E112" s="6" t="s">
        <v>36</v>
      </c>
      <c r="F112" s="6">
        <v>0</v>
      </c>
      <c r="G112" s="6">
        <v>1</v>
      </c>
      <c r="H112" s="6">
        <v>1</v>
      </c>
      <c r="K112" s="6">
        <v>1</v>
      </c>
      <c r="M112" s="6">
        <v>1</v>
      </c>
      <c r="O112" s="6">
        <v>1</v>
      </c>
      <c r="Q112" s="6">
        <v>1</v>
      </c>
      <c r="U112" s="6">
        <v>1</v>
      </c>
      <c r="AB112" s="6">
        <v>1</v>
      </c>
    </row>
    <row r="113" spans="1:31" x14ac:dyDescent="0.25">
      <c r="A113" s="216"/>
      <c r="B113" s="216"/>
      <c r="C113" s="234" t="s">
        <v>289</v>
      </c>
      <c r="D113" s="241">
        <v>5868912</v>
      </c>
      <c r="E113" s="167" t="s">
        <v>242</v>
      </c>
      <c r="F113" s="170">
        <v>0</v>
      </c>
      <c r="G113" s="170">
        <v>1</v>
      </c>
      <c r="H113" s="167">
        <v>0</v>
      </c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>
        <v>0</v>
      </c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</row>
    <row r="114" spans="1:31" x14ac:dyDescent="0.25">
      <c r="A114" s="216" t="s">
        <v>334</v>
      </c>
      <c r="B114" s="216" t="s">
        <v>517</v>
      </c>
      <c r="C114" s="155" t="s">
        <v>197</v>
      </c>
      <c r="D114" s="163">
        <v>1007203</v>
      </c>
      <c r="E114" s="6" t="s">
        <v>171</v>
      </c>
      <c r="F114" s="170">
        <v>0</v>
      </c>
      <c r="G114" s="170">
        <v>1</v>
      </c>
      <c r="H114" s="6">
        <v>0</v>
      </c>
      <c r="U114" s="6">
        <v>0</v>
      </c>
    </row>
    <row r="115" spans="1:31" x14ac:dyDescent="0.25">
      <c r="C115" s="242" t="s">
        <v>54</v>
      </c>
      <c r="D115" s="167">
        <v>6551189</v>
      </c>
      <c r="E115" s="170" t="s">
        <v>32</v>
      </c>
      <c r="F115" s="6">
        <v>0</v>
      </c>
      <c r="G115" s="6">
        <v>1</v>
      </c>
      <c r="H115" s="6">
        <v>1</v>
      </c>
      <c r="L115" s="6">
        <v>1</v>
      </c>
      <c r="M115" s="6">
        <v>1</v>
      </c>
      <c r="Q115" s="6">
        <v>1</v>
      </c>
      <c r="U115" s="6">
        <v>1</v>
      </c>
      <c r="X115" s="6">
        <v>1</v>
      </c>
      <c r="AE115" s="6">
        <v>1</v>
      </c>
    </row>
    <row r="116" spans="1:31" x14ac:dyDescent="0.25">
      <c r="C116" s="167" t="s">
        <v>133</v>
      </c>
      <c r="D116" s="167">
        <v>1220793</v>
      </c>
      <c r="E116" s="170" t="s">
        <v>65</v>
      </c>
      <c r="F116" s="6">
        <v>0</v>
      </c>
      <c r="G116" s="6">
        <v>1</v>
      </c>
      <c r="H116" s="6">
        <v>1</v>
      </c>
      <c r="L116" s="6">
        <v>1</v>
      </c>
      <c r="Q116" s="6">
        <v>1</v>
      </c>
      <c r="U116" s="6">
        <v>0</v>
      </c>
    </row>
    <row r="117" spans="1:31" x14ac:dyDescent="0.25">
      <c r="A117" s="216" t="s">
        <v>425</v>
      </c>
      <c r="B117" s="216" t="s">
        <v>517</v>
      </c>
      <c r="C117" s="236" t="s">
        <v>194</v>
      </c>
      <c r="D117" s="163">
        <v>2797309</v>
      </c>
      <c r="E117" s="170" t="s">
        <v>171</v>
      </c>
      <c r="F117" s="170">
        <v>0</v>
      </c>
      <c r="G117" s="170">
        <v>1</v>
      </c>
      <c r="H117" s="6">
        <v>0</v>
      </c>
      <c r="U117" s="6">
        <v>0</v>
      </c>
    </row>
    <row r="118" spans="1:31" x14ac:dyDescent="0.25">
      <c r="A118" s="216"/>
      <c r="B118" s="216"/>
      <c r="C118" s="155" t="s">
        <v>251</v>
      </c>
      <c r="D118" s="156">
        <v>6334432</v>
      </c>
      <c r="E118" s="170" t="s">
        <v>242</v>
      </c>
      <c r="F118" s="170">
        <v>0</v>
      </c>
      <c r="G118" s="170">
        <v>1</v>
      </c>
      <c r="H118" s="6">
        <v>0</v>
      </c>
      <c r="U118" s="6">
        <v>0</v>
      </c>
    </row>
    <row r="119" spans="1:31" x14ac:dyDescent="0.25">
      <c r="C119" s="167" t="s">
        <v>81</v>
      </c>
      <c r="D119" s="167">
        <v>3379916</v>
      </c>
      <c r="E119" s="170" t="s">
        <v>65</v>
      </c>
      <c r="F119" s="6">
        <v>0</v>
      </c>
      <c r="G119" s="6">
        <v>1</v>
      </c>
      <c r="H119" s="6">
        <v>0</v>
      </c>
      <c r="U119" s="6">
        <v>0</v>
      </c>
    </row>
    <row r="120" spans="1:31" x14ac:dyDescent="0.25">
      <c r="C120" s="234" t="s">
        <v>123</v>
      </c>
      <c r="D120" s="167">
        <v>6737247</v>
      </c>
      <c r="E120" s="170" t="s">
        <v>65</v>
      </c>
      <c r="F120" s="6">
        <v>0</v>
      </c>
      <c r="G120" s="6">
        <v>1</v>
      </c>
      <c r="H120" s="6">
        <v>1</v>
      </c>
      <c r="O120" s="6">
        <v>1</v>
      </c>
      <c r="U120" s="6">
        <v>0</v>
      </c>
      <c r="AE120" s="6">
        <v>1</v>
      </c>
    </row>
    <row r="121" spans="1:31" x14ac:dyDescent="0.25">
      <c r="A121" s="216" t="s">
        <v>408</v>
      </c>
      <c r="B121" s="216" t="s">
        <v>517</v>
      </c>
      <c r="C121" s="234" t="s">
        <v>230</v>
      </c>
      <c r="D121" s="152">
        <v>2546984</v>
      </c>
      <c r="E121" s="167" t="s">
        <v>171</v>
      </c>
      <c r="F121" s="170">
        <v>0</v>
      </c>
      <c r="G121" s="170">
        <v>1</v>
      </c>
      <c r="H121" s="167">
        <v>1</v>
      </c>
      <c r="I121" s="167"/>
      <c r="J121" s="167"/>
      <c r="K121" s="167">
        <v>1</v>
      </c>
      <c r="L121" s="167">
        <v>1</v>
      </c>
      <c r="M121" s="167"/>
      <c r="N121" s="167"/>
      <c r="O121" s="167">
        <v>1</v>
      </c>
      <c r="P121" s="167"/>
      <c r="Q121" s="167"/>
      <c r="R121" s="167"/>
      <c r="S121" s="167"/>
      <c r="T121" s="167" t="s">
        <v>231</v>
      </c>
      <c r="U121" s="167">
        <v>1</v>
      </c>
      <c r="V121" s="167"/>
      <c r="W121" s="167"/>
      <c r="X121" s="167">
        <v>1</v>
      </c>
      <c r="Y121" s="167"/>
      <c r="Z121" s="167"/>
      <c r="AA121" s="167"/>
      <c r="AB121" s="167">
        <v>1</v>
      </c>
      <c r="AC121" s="167" t="s">
        <v>232</v>
      </c>
      <c r="AD121" s="167"/>
      <c r="AE121" s="167"/>
    </row>
    <row r="122" spans="1:31" x14ac:dyDescent="0.25">
      <c r="A122" s="216" t="s">
        <v>456</v>
      </c>
      <c r="B122" s="216" t="s">
        <v>517</v>
      </c>
      <c r="C122" s="170" t="s">
        <v>208</v>
      </c>
      <c r="D122" s="156">
        <v>4176512</v>
      </c>
      <c r="E122" s="6" t="s">
        <v>171</v>
      </c>
      <c r="F122" s="170">
        <v>0</v>
      </c>
      <c r="G122" s="170">
        <v>1</v>
      </c>
      <c r="H122" s="6">
        <v>0</v>
      </c>
      <c r="U122" s="6">
        <v>0</v>
      </c>
    </row>
    <row r="123" spans="1:31" x14ac:dyDescent="0.25">
      <c r="C123" s="93" t="s">
        <v>158</v>
      </c>
      <c r="D123" s="93">
        <v>6264367</v>
      </c>
      <c r="E123" s="6" t="s">
        <v>148</v>
      </c>
      <c r="F123" s="206">
        <v>1</v>
      </c>
      <c r="G123" s="206">
        <v>1</v>
      </c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</row>
    <row r="124" spans="1:31" x14ac:dyDescent="0.25">
      <c r="C124" s="248" t="s">
        <v>139</v>
      </c>
      <c r="D124" s="238" t="s">
        <v>140</v>
      </c>
      <c r="E124" s="6" t="s">
        <v>141</v>
      </c>
      <c r="F124" s="6">
        <v>0</v>
      </c>
      <c r="G124" s="6">
        <v>1</v>
      </c>
      <c r="H124" s="6">
        <v>0</v>
      </c>
      <c r="U124" s="6">
        <v>0</v>
      </c>
    </row>
    <row r="125" spans="1:31" x14ac:dyDescent="0.25">
      <c r="C125" s="167" t="s">
        <v>116</v>
      </c>
      <c r="D125" s="167">
        <v>1508796</v>
      </c>
      <c r="E125" s="170" t="s">
        <v>65</v>
      </c>
      <c r="F125" s="6">
        <v>0</v>
      </c>
      <c r="G125" s="6">
        <v>1</v>
      </c>
      <c r="H125" s="6">
        <v>1</v>
      </c>
      <c r="K125" s="6">
        <v>1</v>
      </c>
      <c r="U125" s="6">
        <v>0</v>
      </c>
      <c r="AE125" s="6">
        <v>2</v>
      </c>
    </row>
    <row r="126" spans="1:31" x14ac:dyDescent="0.25">
      <c r="A126" s="216"/>
      <c r="B126" s="216"/>
      <c r="C126" s="6" t="s">
        <v>275</v>
      </c>
      <c r="D126" s="6">
        <v>6497371</v>
      </c>
      <c r="E126" s="6" t="s">
        <v>242</v>
      </c>
      <c r="F126" s="170">
        <v>0</v>
      </c>
      <c r="G126" s="170">
        <v>1</v>
      </c>
      <c r="H126" s="170">
        <v>1</v>
      </c>
      <c r="K126" s="6">
        <v>1</v>
      </c>
      <c r="U126" s="170">
        <v>0</v>
      </c>
    </row>
    <row r="127" spans="1:31" x14ac:dyDescent="0.25">
      <c r="C127" s="234" t="s">
        <v>92</v>
      </c>
      <c r="D127" s="167">
        <v>6185167</v>
      </c>
      <c r="E127" s="170" t="s">
        <v>65</v>
      </c>
      <c r="F127" s="6">
        <v>0</v>
      </c>
      <c r="G127" s="6">
        <v>1</v>
      </c>
      <c r="H127" s="6">
        <v>1</v>
      </c>
      <c r="K127" s="6">
        <v>1</v>
      </c>
      <c r="U127" s="6">
        <v>0</v>
      </c>
      <c r="AE127" s="6">
        <v>2</v>
      </c>
    </row>
    <row r="128" spans="1:31" x14ac:dyDescent="0.25">
      <c r="C128" s="167" t="s">
        <v>90</v>
      </c>
      <c r="D128" s="167">
        <v>1321044</v>
      </c>
      <c r="E128" s="170" t="s">
        <v>65</v>
      </c>
      <c r="F128" s="6">
        <v>0</v>
      </c>
      <c r="G128" s="6">
        <v>1</v>
      </c>
      <c r="H128" s="6">
        <v>2</v>
      </c>
      <c r="K128" s="6">
        <v>1</v>
      </c>
      <c r="L128" s="6">
        <v>2</v>
      </c>
      <c r="O128" s="6">
        <v>1</v>
      </c>
      <c r="U128" s="6">
        <v>0</v>
      </c>
      <c r="AE128" s="6">
        <v>2</v>
      </c>
    </row>
    <row r="129" spans="1:31" x14ac:dyDescent="0.25">
      <c r="A129" s="216"/>
      <c r="B129" s="216"/>
      <c r="C129" s="167" t="s">
        <v>219</v>
      </c>
      <c r="D129" s="152">
        <v>6491856</v>
      </c>
      <c r="E129" s="167" t="s">
        <v>171</v>
      </c>
      <c r="F129" s="170">
        <v>0</v>
      </c>
      <c r="G129" s="170">
        <v>1</v>
      </c>
      <c r="H129" s="167">
        <v>0</v>
      </c>
      <c r="I129" s="212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>
        <v>0</v>
      </c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</row>
    <row r="130" spans="1:31" x14ac:dyDescent="0.25">
      <c r="A130" s="216" t="s">
        <v>402</v>
      </c>
      <c r="B130" s="216" t="s">
        <v>517</v>
      </c>
      <c r="C130" s="155" t="s">
        <v>186</v>
      </c>
      <c r="D130" s="156">
        <v>2513243</v>
      </c>
      <c r="E130" s="170" t="s">
        <v>171</v>
      </c>
      <c r="F130" s="170">
        <v>0</v>
      </c>
      <c r="G130" s="170">
        <v>1</v>
      </c>
      <c r="H130" s="6">
        <v>0</v>
      </c>
      <c r="U130" s="6">
        <v>0</v>
      </c>
    </row>
    <row r="131" spans="1:31" x14ac:dyDescent="0.25">
      <c r="A131" s="216" t="s">
        <v>479</v>
      </c>
      <c r="B131" s="216" t="s">
        <v>517</v>
      </c>
      <c r="C131" s="167" t="s">
        <v>277</v>
      </c>
      <c r="D131" s="167">
        <v>4689605</v>
      </c>
      <c r="E131" s="167" t="s">
        <v>242</v>
      </c>
      <c r="F131" s="170">
        <v>0</v>
      </c>
      <c r="G131" s="170">
        <v>1</v>
      </c>
      <c r="H131" s="167">
        <v>1</v>
      </c>
      <c r="I131" s="167"/>
      <c r="J131" s="167"/>
      <c r="K131" s="167">
        <v>1</v>
      </c>
      <c r="L131" s="167"/>
      <c r="M131" s="167">
        <v>1</v>
      </c>
      <c r="N131" s="167"/>
      <c r="O131" s="167">
        <v>1</v>
      </c>
      <c r="P131" s="167"/>
      <c r="Q131" s="167"/>
      <c r="R131" s="167"/>
      <c r="S131" s="167"/>
      <c r="T131" s="167"/>
      <c r="U131" s="167">
        <v>0</v>
      </c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</row>
    <row r="132" spans="1:31" x14ac:dyDescent="0.25">
      <c r="C132" s="234" t="s">
        <v>66</v>
      </c>
      <c r="D132" s="167">
        <v>6606902</v>
      </c>
      <c r="E132" s="170" t="s">
        <v>65</v>
      </c>
      <c r="F132" s="6">
        <v>0</v>
      </c>
      <c r="G132" s="6">
        <v>1</v>
      </c>
      <c r="H132" s="6">
        <v>0</v>
      </c>
      <c r="U132" s="6">
        <v>0</v>
      </c>
    </row>
    <row r="133" spans="1:31" x14ac:dyDescent="0.25">
      <c r="C133" s="240" t="s">
        <v>159</v>
      </c>
      <c r="D133" s="240" t="s">
        <v>160</v>
      </c>
      <c r="E133" s="6" t="s">
        <v>148</v>
      </c>
      <c r="F133" s="6">
        <v>0</v>
      </c>
      <c r="G133" s="6">
        <v>1</v>
      </c>
      <c r="H133" s="6">
        <v>1</v>
      </c>
      <c r="K133" s="6">
        <v>1</v>
      </c>
      <c r="O133" s="6">
        <v>1</v>
      </c>
      <c r="U133" s="6">
        <v>0</v>
      </c>
      <c r="AD133" s="6">
        <v>0</v>
      </c>
      <c r="AE133" s="6">
        <v>0</v>
      </c>
    </row>
    <row r="134" spans="1:31" x14ac:dyDescent="0.25">
      <c r="C134" s="234" t="s">
        <v>110</v>
      </c>
      <c r="D134" s="167">
        <v>5877147</v>
      </c>
      <c r="E134" s="170" t="s">
        <v>65</v>
      </c>
      <c r="F134" s="6">
        <v>0</v>
      </c>
      <c r="G134" s="6">
        <v>1</v>
      </c>
      <c r="H134" s="6">
        <v>0</v>
      </c>
      <c r="U134" s="6">
        <v>0</v>
      </c>
      <c r="AD134" s="6">
        <v>1</v>
      </c>
      <c r="AE134" s="6">
        <v>1</v>
      </c>
    </row>
    <row r="135" spans="1:31" x14ac:dyDescent="0.25">
      <c r="C135" s="234" t="s">
        <v>113</v>
      </c>
      <c r="D135" s="167">
        <v>4080425</v>
      </c>
      <c r="E135" s="170" t="s">
        <v>65</v>
      </c>
      <c r="F135" s="6">
        <v>0</v>
      </c>
      <c r="G135" s="6">
        <v>1</v>
      </c>
      <c r="H135" s="6">
        <v>2</v>
      </c>
      <c r="K135" s="6">
        <v>2</v>
      </c>
      <c r="O135" s="6">
        <v>1</v>
      </c>
      <c r="P135" s="6">
        <v>1</v>
      </c>
      <c r="Q135" s="6">
        <v>1</v>
      </c>
      <c r="U135" s="6">
        <v>0</v>
      </c>
    </row>
    <row r="136" spans="1:31" x14ac:dyDescent="0.25">
      <c r="C136" s="167" t="s">
        <v>122</v>
      </c>
      <c r="D136" s="167">
        <v>2223185</v>
      </c>
      <c r="E136" s="170" t="s">
        <v>65</v>
      </c>
      <c r="F136" s="6">
        <v>0</v>
      </c>
      <c r="G136" s="6">
        <v>1</v>
      </c>
      <c r="H136" s="6">
        <v>1</v>
      </c>
      <c r="K136" s="6">
        <v>1</v>
      </c>
      <c r="U136" s="6">
        <v>0</v>
      </c>
      <c r="AE136" s="6">
        <v>2</v>
      </c>
    </row>
    <row r="137" spans="1:31" x14ac:dyDescent="0.25">
      <c r="C137" s="234" t="s">
        <v>114</v>
      </c>
      <c r="D137" s="167">
        <v>6722604</v>
      </c>
      <c r="E137" s="170" t="s">
        <v>65</v>
      </c>
      <c r="F137" s="6">
        <v>0</v>
      </c>
      <c r="G137" s="6">
        <v>1</v>
      </c>
      <c r="H137" s="6">
        <v>0</v>
      </c>
      <c r="U137" s="6">
        <v>0</v>
      </c>
      <c r="AE137" s="6">
        <v>2</v>
      </c>
    </row>
    <row r="138" spans="1:31" x14ac:dyDescent="0.25">
      <c r="A138" s="216"/>
      <c r="B138" s="216"/>
      <c r="C138" s="155" t="s">
        <v>245</v>
      </c>
      <c r="D138" s="156">
        <v>5522060</v>
      </c>
      <c r="E138" s="170" t="s">
        <v>242</v>
      </c>
      <c r="F138" s="170">
        <v>0</v>
      </c>
      <c r="G138" s="170">
        <v>1</v>
      </c>
      <c r="H138" s="170">
        <v>1</v>
      </c>
      <c r="K138" s="6">
        <v>1</v>
      </c>
      <c r="M138" s="6">
        <v>1</v>
      </c>
      <c r="O138" s="6">
        <v>1</v>
      </c>
      <c r="P138" s="6">
        <v>1</v>
      </c>
      <c r="U138" s="6">
        <v>0</v>
      </c>
    </row>
    <row r="139" spans="1:31" x14ac:dyDescent="0.25">
      <c r="A139" s="216"/>
      <c r="B139" s="216"/>
      <c r="C139" s="174" t="s">
        <v>268</v>
      </c>
      <c r="D139" s="6">
        <v>5338778</v>
      </c>
      <c r="E139" s="6" t="s">
        <v>242</v>
      </c>
      <c r="F139" s="170">
        <v>0</v>
      </c>
      <c r="G139" s="170">
        <v>1</v>
      </c>
      <c r="H139" s="6">
        <v>0</v>
      </c>
      <c r="U139" s="6">
        <v>0</v>
      </c>
    </row>
    <row r="140" spans="1:31" x14ac:dyDescent="0.25">
      <c r="A140" s="216" t="s">
        <v>414</v>
      </c>
      <c r="B140" s="216" t="s">
        <v>517</v>
      </c>
      <c r="C140" s="6" t="s">
        <v>238</v>
      </c>
      <c r="D140" s="152">
        <v>2606163</v>
      </c>
      <c r="E140" s="6" t="s">
        <v>171</v>
      </c>
      <c r="F140" s="170">
        <v>0</v>
      </c>
      <c r="G140" s="170">
        <v>1</v>
      </c>
      <c r="H140" s="6">
        <v>0</v>
      </c>
      <c r="U140" s="167">
        <v>0</v>
      </c>
    </row>
    <row r="141" spans="1:31" x14ac:dyDescent="0.25">
      <c r="C141" s="234" t="s">
        <v>61</v>
      </c>
      <c r="D141" s="167">
        <v>3350992</v>
      </c>
      <c r="E141" s="170" t="s">
        <v>32</v>
      </c>
      <c r="F141" s="6">
        <v>0</v>
      </c>
      <c r="G141" s="6">
        <v>1</v>
      </c>
      <c r="H141" s="6">
        <v>0</v>
      </c>
      <c r="U141" s="6">
        <v>0</v>
      </c>
      <c r="AE141" s="6">
        <v>1</v>
      </c>
    </row>
    <row r="142" spans="1:31" x14ac:dyDescent="0.25">
      <c r="A142" s="218" t="s">
        <v>388</v>
      </c>
      <c r="B142" s="218" t="s">
        <v>517</v>
      </c>
      <c r="C142" s="236" t="s">
        <v>286</v>
      </c>
      <c r="D142" s="6">
        <v>2202418</v>
      </c>
      <c r="E142" s="6" t="s">
        <v>242</v>
      </c>
      <c r="F142" s="170">
        <v>0</v>
      </c>
      <c r="G142" s="170">
        <v>1</v>
      </c>
      <c r="H142" s="6">
        <v>0</v>
      </c>
      <c r="U142" s="6">
        <v>0</v>
      </c>
    </row>
    <row r="143" spans="1:31" x14ac:dyDescent="0.25">
      <c r="C143" s="167" t="s">
        <v>112</v>
      </c>
      <c r="D143" s="167">
        <v>957141</v>
      </c>
      <c r="E143" s="170" t="s">
        <v>65</v>
      </c>
      <c r="F143" s="6">
        <v>0</v>
      </c>
      <c r="G143" s="6">
        <v>1</v>
      </c>
      <c r="H143" s="6">
        <v>2</v>
      </c>
      <c r="K143" s="6">
        <v>2</v>
      </c>
      <c r="O143" s="6">
        <v>1</v>
      </c>
      <c r="Q143" s="6">
        <v>1</v>
      </c>
      <c r="U143" s="6">
        <v>0</v>
      </c>
      <c r="AE143" s="6">
        <v>2</v>
      </c>
    </row>
    <row r="144" spans="1:31" x14ac:dyDescent="0.25">
      <c r="C144" s="167" t="s">
        <v>285</v>
      </c>
      <c r="D144" s="152">
        <v>6430250</v>
      </c>
      <c r="E144" s="167" t="s">
        <v>242</v>
      </c>
      <c r="F144" s="170">
        <v>0</v>
      </c>
      <c r="G144" s="170">
        <v>1</v>
      </c>
      <c r="H144" s="167">
        <v>0</v>
      </c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>
        <v>0</v>
      </c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</row>
    <row r="145" spans="1:31" x14ac:dyDescent="0.25">
      <c r="A145" s="218" t="s">
        <v>348</v>
      </c>
      <c r="B145" s="217" t="s">
        <v>517</v>
      </c>
      <c r="C145" s="167" t="s">
        <v>292</v>
      </c>
      <c r="D145" s="249">
        <v>1317813</v>
      </c>
      <c r="E145" s="167" t="s">
        <v>242</v>
      </c>
      <c r="F145" s="167">
        <v>0</v>
      </c>
      <c r="G145" s="170">
        <v>1</v>
      </c>
      <c r="H145" s="167">
        <v>1</v>
      </c>
      <c r="I145" s="167"/>
      <c r="J145" s="167"/>
      <c r="K145" s="167">
        <v>1</v>
      </c>
      <c r="L145" s="167"/>
      <c r="M145" s="167"/>
      <c r="N145" s="167"/>
      <c r="O145" s="167">
        <v>1</v>
      </c>
      <c r="P145" s="167"/>
      <c r="Q145" s="167"/>
      <c r="R145" s="167"/>
      <c r="S145" s="167"/>
      <c r="T145" s="167"/>
      <c r="U145" s="167">
        <v>0</v>
      </c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</row>
    <row r="146" spans="1:31" x14ac:dyDescent="0.25">
      <c r="A146" s="218" t="s">
        <v>428</v>
      </c>
      <c r="B146" s="218" t="s">
        <v>517</v>
      </c>
      <c r="C146" s="6" t="s">
        <v>274</v>
      </c>
      <c r="D146" s="6">
        <v>3446956</v>
      </c>
      <c r="E146" s="6" t="s">
        <v>242</v>
      </c>
      <c r="F146" s="170">
        <v>0</v>
      </c>
      <c r="G146" s="170">
        <v>1</v>
      </c>
      <c r="H146" s="170">
        <v>0</v>
      </c>
      <c r="U146" s="170">
        <v>0</v>
      </c>
    </row>
    <row r="147" spans="1:31" x14ac:dyDescent="0.25">
      <c r="A147" s="218" t="s">
        <v>369</v>
      </c>
      <c r="B147" s="218" t="s">
        <v>517</v>
      </c>
      <c r="C147" s="170" t="s">
        <v>276</v>
      </c>
      <c r="D147" s="170">
        <v>1819735</v>
      </c>
      <c r="E147" s="170" t="s">
        <v>242</v>
      </c>
      <c r="F147" s="170">
        <v>0</v>
      </c>
      <c r="G147" s="170">
        <v>1</v>
      </c>
      <c r="H147" s="170">
        <v>1</v>
      </c>
      <c r="I147" s="170"/>
      <c r="J147" s="170"/>
      <c r="K147" s="170"/>
      <c r="L147" s="170"/>
      <c r="M147" s="170"/>
      <c r="N147" s="170"/>
      <c r="O147" s="170">
        <v>1</v>
      </c>
      <c r="P147" s="170"/>
      <c r="Q147" s="170"/>
      <c r="R147" s="170"/>
      <c r="S147" s="170"/>
      <c r="T147" s="170"/>
      <c r="U147" s="170">
        <v>1</v>
      </c>
      <c r="V147" s="170"/>
      <c r="W147" s="170"/>
      <c r="X147" s="170"/>
      <c r="Y147" s="170"/>
      <c r="Z147" s="170">
        <v>1</v>
      </c>
      <c r="AA147" s="170"/>
      <c r="AB147" s="170"/>
      <c r="AC147" s="170"/>
      <c r="AD147" s="170"/>
      <c r="AE147" s="170"/>
    </row>
    <row r="148" spans="1:31" x14ac:dyDescent="0.25">
      <c r="C148" s="167" t="s">
        <v>80</v>
      </c>
      <c r="D148" s="167">
        <v>6535928</v>
      </c>
      <c r="E148" s="170" t="s">
        <v>65</v>
      </c>
      <c r="F148" s="6">
        <v>0</v>
      </c>
      <c r="G148" s="6">
        <v>1</v>
      </c>
      <c r="H148" s="6">
        <v>1</v>
      </c>
      <c r="K148" s="6">
        <v>1</v>
      </c>
      <c r="U148" s="6">
        <v>0</v>
      </c>
    </row>
    <row r="149" spans="1:31" x14ac:dyDescent="0.25">
      <c r="A149" s="218" t="s">
        <v>318</v>
      </c>
      <c r="B149" s="218" t="s">
        <v>518</v>
      </c>
      <c r="C149" s="234" t="s">
        <v>279</v>
      </c>
      <c r="D149" s="167">
        <v>568973</v>
      </c>
      <c r="E149" s="167" t="s">
        <v>242</v>
      </c>
      <c r="F149" s="170">
        <v>0</v>
      </c>
      <c r="G149" s="170">
        <v>1</v>
      </c>
      <c r="H149" s="167">
        <v>2</v>
      </c>
      <c r="I149" s="167"/>
      <c r="J149" s="167"/>
      <c r="K149" s="167">
        <v>2</v>
      </c>
      <c r="L149" s="167"/>
      <c r="M149" s="167"/>
      <c r="N149" s="167"/>
      <c r="O149" s="167"/>
      <c r="P149" s="167"/>
      <c r="Q149" s="167"/>
      <c r="R149" s="167"/>
      <c r="S149" s="167"/>
      <c r="T149" s="167"/>
      <c r="U149" s="167">
        <v>0</v>
      </c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</row>
    <row r="150" spans="1:31" x14ac:dyDescent="0.25">
      <c r="A150" s="218" t="s">
        <v>461</v>
      </c>
      <c r="B150" s="218" t="s">
        <v>517</v>
      </c>
      <c r="C150" s="234" t="s">
        <v>241</v>
      </c>
      <c r="D150" s="152">
        <v>4184793</v>
      </c>
      <c r="E150" s="167" t="s">
        <v>171</v>
      </c>
      <c r="F150" s="170">
        <v>0</v>
      </c>
      <c r="G150" s="167">
        <v>1</v>
      </c>
      <c r="H150" s="167">
        <v>1</v>
      </c>
      <c r="I150" s="167"/>
      <c r="J150" s="167"/>
      <c r="K150" s="167">
        <v>1</v>
      </c>
      <c r="L150" s="167"/>
      <c r="M150" s="167"/>
      <c r="N150" s="167"/>
      <c r="O150" s="167"/>
      <c r="P150" s="167"/>
      <c r="Q150" s="167"/>
      <c r="R150" s="167"/>
      <c r="S150" s="167"/>
      <c r="T150" s="167"/>
      <c r="U150" s="167">
        <v>0</v>
      </c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</row>
    <row r="151" spans="1:31" x14ac:dyDescent="0.25">
      <c r="C151" s="170" t="s">
        <v>281</v>
      </c>
      <c r="D151" s="156">
        <v>5322599</v>
      </c>
      <c r="E151" s="170" t="s">
        <v>242</v>
      </c>
      <c r="F151" s="170">
        <v>0</v>
      </c>
      <c r="G151" s="170">
        <v>1</v>
      </c>
      <c r="H151" s="170">
        <v>0</v>
      </c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>
        <v>0</v>
      </c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</row>
    <row r="152" spans="1:31" x14ac:dyDescent="0.25">
      <c r="C152" s="167" t="s">
        <v>85</v>
      </c>
      <c r="D152" s="167">
        <v>3501315</v>
      </c>
      <c r="E152" s="167" t="s">
        <v>65</v>
      </c>
      <c r="F152" s="6">
        <v>0</v>
      </c>
      <c r="G152" s="6">
        <v>1</v>
      </c>
      <c r="H152" s="6">
        <v>0</v>
      </c>
      <c r="Q152" s="6">
        <v>1</v>
      </c>
      <c r="U152" s="6">
        <v>0</v>
      </c>
      <c r="AE152" s="6">
        <v>2</v>
      </c>
    </row>
    <row r="153" spans="1:31" x14ac:dyDescent="0.25">
      <c r="C153" s="234" t="s">
        <v>107</v>
      </c>
      <c r="D153" s="167">
        <v>3501458</v>
      </c>
      <c r="E153" s="170" t="s">
        <v>65</v>
      </c>
      <c r="F153" s="6">
        <v>0</v>
      </c>
      <c r="G153" s="6">
        <v>1</v>
      </c>
      <c r="H153" s="6">
        <v>1</v>
      </c>
      <c r="K153" s="6">
        <v>1</v>
      </c>
      <c r="U153" s="6">
        <v>1</v>
      </c>
      <c r="W153" s="6">
        <v>1</v>
      </c>
      <c r="AE153" s="6">
        <v>2</v>
      </c>
    </row>
    <row r="154" spans="1:31" x14ac:dyDescent="0.25">
      <c r="C154" s="234" t="s">
        <v>71</v>
      </c>
      <c r="D154" s="167">
        <v>6559599</v>
      </c>
      <c r="E154" s="170" t="s">
        <v>65</v>
      </c>
      <c r="F154" s="6">
        <v>0</v>
      </c>
      <c r="G154" s="6">
        <v>1</v>
      </c>
      <c r="H154" s="6">
        <v>0</v>
      </c>
      <c r="U154" s="6">
        <v>0</v>
      </c>
    </row>
    <row r="155" spans="1:31" x14ac:dyDescent="0.25">
      <c r="C155" s="234" t="s">
        <v>126</v>
      </c>
      <c r="D155" s="167">
        <v>6324630</v>
      </c>
      <c r="E155" s="167" t="s">
        <v>65</v>
      </c>
      <c r="F155" s="206">
        <v>1</v>
      </c>
      <c r="G155" s="206">
        <v>1</v>
      </c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</row>
    <row r="156" spans="1:31" x14ac:dyDescent="0.25">
      <c r="A156" s="218" t="s">
        <v>439</v>
      </c>
      <c r="B156" s="218" t="s">
        <v>517</v>
      </c>
      <c r="C156" s="6" t="s">
        <v>237</v>
      </c>
      <c r="D156" s="163">
        <v>3567123</v>
      </c>
      <c r="E156" s="6" t="s">
        <v>171</v>
      </c>
      <c r="F156" s="170">
        <v>0</v>
      </c>
      <c r="G156" s="170">
        <v>1</v>
      </c>
      <c r="H156" s="6">
        <v>1</v>
      </c>
      <c r="K156" s="6">
        <v>1</v>
      </c>
      <c r="U156" s="6">
        <v>0</v>
      </c>
    </row>
    <row r="157" spans="1:31" x14ac:dyDescent="0.25">
      <c r="C157" s="167" t="s">
        <v>295</v>
      </c>
      <c r="D157" s="152">
        <v>5615152</v>
      </c>
      <c r="E157" s="167" t="s">
        <v>242</v>
      </c>
      <c r="F157" s="170">
        <v>0</v>
      </c>
      <c r="G157" s="170">
        <v>1</v>
      </c>
      <c r="H157" s="167">
        <v>0</v>
      </c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>
        <v>0</v>
      </c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</row>
    <row r="158" spans="1:31" x14ac:dyDescent="0.25">
      <c r="C158" s="170" t="s">
        <v>35</v>
      </c>
      <c r="D158" s="170">
        <v>2461167</v>
      </c>
      <c r="E158" s="170" t="s">
        <v>36</v>
      </c>
      <c r="F158" s="6">
        <v>0</v>
      </c>
      <c r="G158" s="6">
        <v>1</v>
      </c>
      <c r="H158" s="6">
        <v>1</v>
      </c>
      <c r="U158" s="6">
        <v>0</v>
      </c>
    </row>
    <row r="159" spans="1:31" x14ac:dyDescent="0.25">
      <c r="C159" s="234" t="s">
        <v>70</v>
      </c>
      <c r="D159" s="167">
        <v>4640520</v>
      </c>
      <c r="E159" s="170" t="s">
        <v>49</v>
      </c>
      <c r="F159" s="206">
        <v>1</v>
      </c>
      <c r="G159" s="206">
        <v>1</v>
      </c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</row>
    <row r="160" spans="1:31" x14ac:dyDescent="0.25">
      <c r="C160" s="234" t="s">
        <v>74</v>
      </c>
      <c r="D160" s="167">
        <v>5371431</v>
      </c>
      <c r="E160" s="170" t="s">
        <v>65</v>
      </c>
      <c r="F160" s="6">
        <v>0</v>
      </c>
      <c r="G160" s="6">
        <v>1</v>
      </c>
      <c r="H160" s="6">
        <v>1</v>
      </c>
      <c r="O160" s="6">
        <v>1</v>
      </c>
      <c r="Q160" s="6">
        <v>1</v>
      </c>
      <c r="U160" s="6">
        <v>0</v>
      </c>
      <c r="AD160" s="6">
        <v>1</v>
      </c>
    </row>
    <row r="161" spans="1:31" x14ac:dyDescent="0.25">
      <c r="C161" s="170" t="s">
        <v>41</v>
      </c>
      <c r="D161" s="170">
        <v>6378361</v>
      </c>
      <c r="E161" s="170" t="s">
        <v>32</v>
      </c>
      <c r="F161" s="213">
        <v>1</v>
      </c>
      <c r="G161" s="213">
        <v>1</v>
      </c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  <c r="AE161" s="213"/>
    </row>
    <row r="162" spans="1:31" x14ac:dyDescent="0.25">
      <c r="A162" s="218" t="s">
        <v>379</v>
      </c>
      <c r="B162" s="218" t="s">
        <v>517</v>
      </c>
      <c r="C162" s="236" t="s">
        <v>239</v>
      </c>
      <c r="D162" s="163">
        <v>2045165</v>
      </c>
      <c r="E162" s="6" t="s">
        <v>171</v>
      </c>
      <c r="F162" s="170">
        <v>0</v>
      </c>
      <c r="G162" s="170">
        <v>1</v>
      </c>
      <c r="H162" s="167">
        <v>0</v>
      </c>
      <c r="U162" s="6">
        <v>1</v>
      </c>
      <c r="X162" s="6">
        <v>0</v>
      </c>
    </row>
    <row r="163" spans="1:31" x14ac:dyDescent="0.25">
      <c r="C163" s="186" t="s">
        <v>43</v>
      </c>
      <c r="D163" s="186">
        <v>6007874</v>
      </c>
      <c r="E163" s="186" t="s">
        <v>32</v>
      </c>
      <c r="F163" s="206">
        <v>1</v>
      </c>
      <c r="G163" s="206">
        <v>1</v>
      </c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  <c r="AE163" s="206"/>
    </row>
    <row r="164" spans="1:31" x14ac:dyDescent="0.25">
      <c r="C164" s="234" t="s">
        <v>101</v>
      </c>
      <c r="D164" s="167">
        <v>1248363</v>
      </c>
      <c r="E164" s="170" t="s">
        <v>65</v>
      </c>
      <c r="F164" s="6">
        <v>0</v>
      </c>
      <c r="G164" s="6">
        <v>1</v>
      </c>
      <c r="H164" s="6">
        <v>1</v>
      </c>
      <c r="K164" s="6">
        <v>1</v>
      </c>
      <c r="O164" s="6">
        <v>1</v>
      </c>
      <c r="U164" s="6">
        <v>0</v>
      </c>
      <c r="AE164" s="6">
        <v>2</v>
      </c>
    </row>
    <row r="165" spans="1:31" x14ac:dyDescent="0.25">
      <c r="C165" s="167" t="s">
        <v>288</v>
      </c>
      <c r="D165" s="152">
        <v>6259132</v>
      </c>
      <c r="E165" s="167" t="s">
        <v>242</v>
      </c>
      <c r="F165" s="170">
        <v>0</v>
      </c>
      <c r="G165" s="170">
        <v>1</v>
      </c>
      <c r="H165" s="167">
        <v>0</v>
      </c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>
        <v>0</v>
      </c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</row>
    <row r="166" spans="1:31" x14ac:dyDescent="0.25">
      <c r="A166" s="218" t="s">
        <v>440</v>
      </c>
      <c r="B166" s="217" t="s">
        <v>518</v>
      </c>
      <c r="C166" s="236" t="s">
        <v>180</v>
      </c>
      <c r="D166" s="163">
        <v>3608742</v>
      </c>
      <c r="E166" s="6" t="s">
        <v>171</v>
      </c>
      <c r="F166" s="170">
        <v>0</v>
      </c>
      <c r="G166" s="170">
        <v>1</v>
      </c>
      <c r="H166" s="6">
        <v>2</v>
      </c>
      <c r="K166" s="6">
        <v>2</v>
      </c>
      <c r="O166" s="6">
        <v>2</v>
      </c>
      <c r="U166" s="6">
        <v>0</v>
      </c>
    </row>
    <row r="167" spans="1:31" x14ac:dyDescent="0.25">
      <c r="A167" s="218" t="s">
        <v>375</v>
      </c>
      <c r="B167" s="218" t="s">
        <v>517</v>
      </c>
      <c r="C167" s="234" t="s">
        <v>283</v>
      </c>
      <c r="D167" s="167">
        <v>1978750</v>
      </c>
      <c r="E167" s="167" t="s">
        <v>242</v>
      </c>
      <c r="F167" s="170">
        <v>0</v>
      </c>
      <c r="G167" s="170">
        <v>1</v>
      </c>
      <c r="H167" s="167">
        <v>1</v>
      </c>
      <c r="I167" s="167"/>
      <c r="J167" s="167"/>
      <c r="K167" s="167">
        <v>1</v>
      </c>
      <c r="L167" s="167"/>
      <c r="M167" s="167">
        <v>1</v>
      </c>
      <c r="N167" s="167"/>
      <c r="O167" s="167"/>
      <c r="P167" s="167"/>
      <c r="Q167" s="167"/>
      <c r="R167" s="167"/>
      <c r="S167" s="167"/>
      <c r="T167" s="167"/>
      <c r="U167" s="167">
        <v>1</v>
      </c>
      <c r="V167" s="167"/>
      <c r="W167" s="167"/>
      <c r="X167" s="167"/>
      <c r="Y167" s="167"/>
      <c r="Z167" s="167">
        <v>1</v>
      </c>
      <c r="AA167" s="167"/>
      <c r="AB167" s="167"/>
      <c r="AC167" s="167"/>
      <c r="AD167" s="167"/>
      <c r="AE167" s="167"/>
    </row>
    <row r="168" spans="1:31" x14ac:dyDescent="0.25">
      <c r="C168" s="234" t="s">
        <v>108</v>
      </c>
      <c r="D168" s="167">
        <v>4886388</v>
      </c>
      <c r="E168" s="170" t="s">
        <v>65</v>
      </c>
      <c r="F168" s="6">
        <v>0</v>
      </c>
      <c r="G168" s="6">
        <v>1</v>
      </c>
      <c r="H168" s="6">
        <v>0</v>
      </c>
      <c r="U168" s="6">
        <v>0</v>
      </c>
      <c r="AE168" s="6">
        <v>2</v>
      </c>
    </row>
    <row r="169" spans="1:31" x14ac:dyDescent="0.25">
      <c r="C169" s="240" t="s">
        <v>161</v>
      </c>
      <c r="D169" s="240" t="s">
        <v>162</v>
      </c>
      <c r="E169" s="6" t="s">
        <v>148</v>
      </c>
      <c r="F169" s="6">
        <v>0</v>
      </c>
      <c r="G169" s="6">
        <v>1</v>
      </c>
      <c r="H169" s="6">
        <v>1</v>
      </c>
      <c r="K169" s="6">
        <v>1</v>
      </c>
      <c r="O169" s="6">
        <v>1</v>
      </c>
      <c r="Q169" s="6">
        <v>1</v>
      </c>
      <c r="U169" s="6">
        <v>0</v>
      </c>
      <c r="AE169" s="6">
        <v>2</v>
      </c>
    </row>
    <row r="170" spans="1:31" x14ac:dyDescent="0.25">
      <c r="A170" s="218" t="s">
        <v>346</v>
      </c>
      <c r="B170" s="217" t="s">
        <v>517</v>
      </c>
      <c r="C170" s="155" t="s">
        <v>256</v>
      </c>
      <c r="D170" s="156">
        <v>1258937</v>
      </c>
      <c r="E170" s="170" t="s">
        <v>242</v>
      </c>
      <c r="F170" s="170">
        <v>0</v>
      </c>
      <c r="G170" s="170">
        <v>1</v>
      </c>
      <c r="H170" s="6">
        <v>0</v>
      </c>
      <c r="U170" s="6">
        <v>0</v>
      </c>
    </row>
    <row r="171" spans="1:31" x14ac:dyDescent="0.25">
      <c r="C171" s="167" t="s">
        <v>121</v>
      </c>
      <c r="D171" s="167">
        <v>6731240</v>
      </c>
      <c r="E171" s="170" t="s">
        <v>65</v>
      </c>
      <c r="F171" s="6">
        <v>0</v>
      </c>
      <c r="G171" s="6">
        <v>1</v>
      </c>
      <c r="H171" s="6">
        <v>1</v>
      </c>
      <c r="K171" s="6">
        <v>1</v>
      </c>
      <c r="L171" s="6">
        <v>1</v>
      </c>
      <c r="O171" s="6">
        <v>1</v>
      </c>
      <c r="P171" s="6">
        <v>1</v>
      </c>
      <c r="U171" s="6">
        <v>0</v>
      </c>
      <c r="AD171" s="6">
        <v>1</v>
      </c>
      <c r="AE171" s="6">
        <v>2</v>
      </c>
    </row>
    <row r="172" spans="1:31" x14ac:dyDescent="0.25">
      <c r="C172" s="170" t="s">
        <v>48</v>
      </c>
      <c r="D172" s="170">
        <v>6517497</v>
      </c>
      <c r="E172" s="170" t="s">
        <v>49</v>
      </c>
      <c r="F172" s="206">
        <v>1</v>
      </c>
      <c r="G172" s="206">
        <v>1</v>
      </c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  <c r="AA172" s="206"/>
      <c r="AB172" s="206"/>
      <c r="AC172" s="206"/>
      <c r="AD172" s="206"/>
      <c r="AE172" s="206"/>
    </row>
    <row r="173" spans="1:31" x14ac:dyDescent="0.25">
      <c r="C173" s="167" t="s">
        <v>47</v>
      </c>
      <c r="D173" s="167">
        <v>6499494</v>
      </c>
      <c r="E173" s="170" t="s">
        <v>32</v>
      </c>
      <c r="F173" s="6">
        <v>0</v>
      </c>
      <c r="G173" s="6">
        <v>1</v>
      </c>
      <c r="H173" s="6">
        <v>1</v>
      </c>
      <c r="K173" s="6">
        <v>1</v>
      </c>
      <c r="Q173" s="6">
        <v>0</v>
      </c>
      <c r="U173" s="6">
        <v>0</v>
      </c>
      <c r="AE173" s="6">
        <v>2</v>
      </c>
    </row>
    <row r="174" spans="1:31" x14ac:dyDescent="0.25">
      <c r="A174" s="218" t="s">
        <v>395</v>
      </c>
      <c r="B174" s="218" t="s">
        <v>517</v>
      </c>
      <c r="C174" s="155" t="s">
        <v>249</v>
      </c>
      <c r="D174" s="156">
        <v>2279275</v>
      </c>
      <c r="E174" s="170" t="s">
        <v>242</v>
      </c>
      <c r="F174" s="170">
        <v>0</v>
      </c>
      <c r="G174" s="170">
        <v>1</v>
      </c>
      <c r="H174" s="6">
        <v>0</v>
      </c>
      <c r="U174" s="6">
        <v>0</v>
      </c>
    </row>
    <row r="175" spans="1:31" x14ac:dyDescent="0.25">
      <c r="C175" s="167" t="s">
        <v>300</v>
      </c>
      <c r="D175" s="163">
        <v>6495503</v>
      </c>
      <c r="E175" s="156" t="s">
        <v>242</v>
      </c>
      <c r="F175" s="170">
        <v>0</v>
      </c>
      <c r="G175" s="170">
        <v>1</v>
      </c>
      <c r="H175" s="167">
        <v>0</v>
      </c>
      <c r="J175" s="167"/>
      <c r="U175" s="167">
        <v>0</v>
      </c>
    </row>
    <row r="176" spans="1:31" x14ac:dyDescent="0.25">
      <c r="C176" s="167" t="s">
        <v>111</v>
      </c>
      <c r="D176" s="167">
        <v>950828</v>
      </c>
      <c r="E176" s="170" t="s">
        <v>65</v>
      </c>
      <c r="F176" s="6">
        <v>0</v>
      </c>
      <c r="G176" s="6">
        <v>1</v>
      </c>
      <c r="H176" s="6">
        <v>1</v>
      </c>
      <c r="K176" s="6">
        <v>1</v>
      </c>
      <c r="M176" s="6">
        <v>1</v>
      </c>
      <c r="U176" s="6">
        <v>0</v>
      </c>
    </row>
    <row r="177" spans="1:31" x14ac:dyDescent="0.25">
      <c r="C177" s="170" t="s">
        <v>258</v>
      </c>
      <c r="D177" s="156">
        <v>6346687</v>
      </c>
      <c r="E177" s="170" t="s">
        <v>242</v>
      </c>
      <c r="F177" s="170">
        <v>1</v>
      </c>
      <c r="G177" s="170">
        <v>1</v>
      </c>
      <c r="H177" s="6" t="s">
        <v>172</v>
      </c>
      <c r="U177" s="6" t="s">
        <v>172</v>
      </c>
    </row>
    <row r="178" spans="1:31" x14ac:dyDescent="0.25">
      <c r="C178" s="170" t="s">
        <v>34</v>
      </c>
      <c r="D178" s="170">
        <v>2144782</v>
      </c>
      <c r="E178" s="170" t="s">
        <v>32</v>
      </c>
      <c r="F178" s="6">
        <v>0</v>
      </c>
      <c r="G178" s="6">
        <v>1</v>
      </c>
      <c r="H178" s="6">
        <v>1</v>
      </c>
      <c r="K178" s="6">
        <v>1</v>
      </c>
      <c r="U178" s="6">
        <v>0</v>
      </c>
    </row>
    <row r="179" spans="1:31" x14ac:dyDescent="0.25">
      <c r="C179" s="208" t="s">
        <v>128</v>
      </c>
      <c r="D179" s="167">
        <v>3439354</v>
      </c>
      <c r="E179" s="170" t="s">
        <v>65</v>
      </c>
      <c r="F179" s="6">
        <v>0</v>
      </c>
      <c r="G179" s="6">
        <v>1</v>
      </c>
      <c r="H179" s="6">
        <v>1</v>
      </c>
      <c r="K179" s="6">
        <v>1</v>
      </c>
      <c r="O179" s="6">
        <v>1</v>
      </c>
      <c r="U179" s="6">
        <v>0</v>
      </c>
    </row>
    <row r="180" spans="1:31" x14ac:dyDescent="0.25">
      <c r="C180" s="93" t="s">
        <v>167</v>
      </c>
      <c r="D180" s="93">
        <v>5882236</v>
      </c>
      <c r="E180" s="6" t="s">
        <v>148</v>
      </c>
      <c r="F180" s="6">
        <v>0</v>
      </c>
      <c r="G180" s="6">
        <v>1</v>
      </c>
      <c r="H180" s="6">
        <v>1</v>
      </c>
      <c r="K180" s="6">
        <v>1</v>
      </c>
      <c r="U180" s="6">
        <v>0</v>
      </c>
      <c r="AD180" s="6">
        <v>1</v>
      </c>
      <c r="AE180" s="6">
        <v>1</v>
      </c>
    </row>
    <row r="181" spans="1:31" x14ac:dyDescent="0.25">
      <c r="A181" s="218" t="s">
        <v>316</v>
      </c>
      <c r="B181" s="218" t="s">
        <v>517</v>
      </c>
      <c r="C181" s="234" t="s">
        <v>213</v>
      </c>
      <c r="D181" s="152">
        <v>524859</v>
      </c>
      <c r="E181" s="167" t="s">
        <v>171</v>
      </c>
      <c r="F181" s="170">
        <v>1</v>
      </c>
      <c r="G181" s="167">
        <v>1</v>
      </c>
      <c r="H181" s="6" t="s">
        <v>172</v>
      </c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6" t="s">
        <v>172</v>
      </c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</row>
    <row r="182" spans="1:31" x14ac:dyDescent="0.25">
      <c r="C182" s="6" t="s">
        <v>45</v>
      </c>
      <c r="D182" s="6">
        <v>6441005</v>
      </c>
      <c r="E182" s="170" t="s">
        <v>32</v>
      </c>
      <c r="F182" s="206">
        <v>1</v>
      </c>
      <c r="G182" s="206">
        <v>1</v>
      </c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  <c r="AE182" s="206"/>
    </row>
    <row r="183" spans="1:31" x14ac:dyDescent="0.25">
      <c r="A183" s="218" t="s">
        <v>355</v>
      </c>
      <c r="B183" s="217" t="s">
        <v>517</v>
      </c>
      <c r="C183" s="155" t="s">
        <v>196</v>
      </c>
      <c r="D183" s="163">
        <v>1505916</v>
      </c>
      <c r="E183" s="6" t="s">
        <v>171</v>
      </c>
      <c r="F183" s="170">
        <v>1</v>
      </c>
      <c r="G183" s="170">
        <v>1</v>
      </c>
      <c r="H183" s="6" t="s">
        <v>172</v>
      </c>
      <c r="U183" s="6" t="s">
        <v>172</v>
      </c>
    </row>
    <row r="184" spans="1:31" x14ac:dyDescent="0.25">
      <c r="C184" s="194" t="s">
        <v>164</v>
      </c>
      <c r="D184" s="93">
        <v>3361340</v>
      </c>
      <c r="E184" s="6" t="s">
        <v>148</v>
      </c>
      <c r="F184" s="6">
        <v>0</v>
      </c>
      <c r="G184" s="6">
        <v>1</v>
      </c>
      <c r="H184" s="6">
        <v>1</v>
      </c>
      <c r="K184" s="6">
        <v>1</v>
      </c>
      <c r="O184" s="6">
        <v>1</v>
      </c>
      <c r="Q184" s="6">
        <v>1</v>
      </c>
      <c r="U184" s="6">
        <v>0</v>
      </c>
      <c r="AE184" s="6">
        <v>0</v>
      </c>
    </row>
    <row r="185" spans="1:31" x14ac:dyDescent="0.25">
      <c r="A185" s="218" t="s">
        <v>310</v>
      </c>
      <c r="B185" s="218" t="s">
        <v>517</v>
      </c>
      <c r="C185" s="170" t="s">
        <v>206</v>
      </c>
      <c r="D185" s="156">
        <v>242136</v>
      </c>
      <c r="E185" s="170" t="s">
        <v>171</v>
      </c>
      <c r="F185" s="170">
        <v>0</v>
      </c>
      <c r="G185" s="170">
        <v>1</v>
      </c>
      <c r="H185" s="170">
        <v>2</v>
      </c>
      <c r="I185" s="170"/>
      <c r="J185" s="170"/>
      <c r="K185" s="170">
        <v>2</v>
      </c>
      <c r="L185" s="170">
        <v>1</v>
      </c>
      <c r="M185" s="170"/>
      <c r="N185" s="170"/>
      <c r="O185" s="170">
        <v>1</v>
      </c>
      <c r="P185" s="170"/>
      <c r="Q185" s="170"/>
      <c r="R185" s="170"/>
      <c r="S185" s="170"/>
      <c r="T185" s="170"/>
      <c r="U185" s="170">
        <v>0</v>
      </c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 spans="1:31" x14ac:dyDescent="0.25">
      <c r="C186" s="234" t="s">
        <v>67</v>
      </c>
      <c r="D186" s="167">
        <v>5495453</v>
      </c>
      <c r="E186" s="170" t="s">
        <v>65</v>
      </c>
      <c r="F186" s="206">
        <v>1</v>
      </c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  <c r="AE186" s="206"/>
    </row>
    <row r="187" spans="1:31" x14ac:dyDescent="0.25">
      <c r="C187" s="167" t="s">
        <v>89</v>
      </c>
      <c r="D187" s="167">
        <v>4012359</v>
      </c>
      <c r="E187" s="170" t="s">
        <v>65</v>
      </c>
      <c r="F187" s="6">
        <v>0</v>
      </c>
      <c r="G187" s="6">
        <v>1</v>
      </c>
      <c r="H187" s="6">
        <v>1</v>
      </c>
      <c r="K187" s="6">
        <v>1</v>
      </c>
      <c r="O187" s="6">
        <v>1</v>
      </c>
      <c r="U187" s="6">
        <v>0</v>
      </c>
      <c r="AE187" s="6">
        <v>1</v>
      </c>
    </row>
    <row r="188" spans="1:31" x14ac:dyDescent="0.25">
      <c r="C188" s="170" t="s">
        <v>31</v>
      </c>
      <c r="D188" s="170">
        <v>860879</v>
      </c>
      <c r="E188" s="170" t="s">
        <v>32</v>
      </c>
      <c r="F188" s="6">
        <v>0</v>
      </c>
      <c r="G188" s="6">
        <v>1</v>
      </c>
      <c r="H188" s="6">
        <v>1</v>
      </c>
      <c r="K188" s="6">
        <v>1</v>
      </c>
      <c r="U188" s="6">
        <v>0</v>
      </c>
    </row>
    <row r="189" spans="1:31" x14ac:dyDescent="0.25">
      <c r="A189" s="218" t="s">
        <v>367</v>
      </c>
      <c r="B189" s="218" t="s">
        <v>517</v>
      </c>
      <c r="C189" s="185" t="s">
        <v>216</v>
      </c>
      <c r="D189" s="250">
        <v>1766448</v>
      </c>
      <c r="E189" s="167" t="s">
        <v>171</v>
      </c>
      <c r="F189" s="170">
        <v>0</v>
      </c>
      <c r="G189" s="170">
        <v>1</v>
      </c>
      <c r="H189" s="167">
        <v>1</v>
      </c>
      <c r="I189" s="167"/>
      <c r="J189" s="167"/>
      <c r="K189" s="167"/>
      <c r="L189" s="167"/>
      <c r="M189" s="167">
        <v>1</v>
      </c>
      <c r="N189" s="167"/>
      <c r="O189" s="167"/>
      <c r="P189" s="167"/>
      <c r="Q189" s="167"/>
      <c r="R189" s="167"/>
      <c r="S189" s="167"/>
      <c r="T189" s="167"/>
      <c r="U189" s="167">
        <v>0</v>
      </c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</row>
    <row r="190" spans="1:31" x14ac:dyDescent="0.25">
      <c r="A190" s="218" t="s">
        <v>486</v>
      </c>
      <c r="B190" s="218" t="s">
        <v>517</v>
      </c>
      <c r="C190" s="210" t="s">
        <v>198</v>
      </c>
      <c r="D190" s="163">
        <v>4894117</v>
      </c>
      <c r="E190" s="210" t="s">
        <v>171</v>
      </c>
      <c r="F190" s="170">
        <v>0</v>
      </c>
      <c r="G190" s="170">
        <v>1</v>
      </c>
      <c r="H190" s="210">
        <v>0</v>
      </c>
      <c r="I190" s="251"/>
      <c r="J190" s="251"/>
      <c r="K190" s="251"/>
      <c r="L190" s="251"/>
      <c r="M190" s="251"/>
      <c r="N190" s="251"/>
      <c r="O190" s="251"/>
      <c r="P190" s="251"/>
      <c r="Q190" s="251"/>
      <c r="R190" s="210"/>
      <c r="S190" s="251"/>
      <c r="T190" s="251"/>
      <c r="U190" s="251">
        <v>0</v>
      </c>
      <c r="W190" s="210"/>
      <c r="X190" s="251"/>
      <c r="Y190" s="251"/>
      <c r="Z190" s="251"/>
      <c r="AA190" s="210"/>
      <c r="AB190" s="210"/>
      <c r="AC190" s="251"/>
      <c r="AD190" s="251"/>
      <c r="AE190" s="251"/>
    </row>
    <row r="191" spans="1:31" x14ac:dyDescent="0.25">
      <c r="C191" s="234" t="s">
        <v>69</v>
      </c>
      <c r="D191" s="167">
        <v>2404653</v>
      </c>
      <c r="E191" s="170" t="s">
        <v>65</v>
      </c>
      <c r="F191" s="6">
        <v>0</v>
      </c>
      <c r="G191" s="6">
        <v>1</v>
      </c>
      <c r="H191" s="6">
        <v>1</v>
      </c>
      <c r="K191" s="6">
        <v>1</v>
      </c>
      <c r="U191" s="6">
        <v>1</v>
      </c>
      <c r="W191" s="6">
        <v>1</v>
      </c>
      <c r="AE191" s="6">
        <v>2</v>
      </c>
    </row>
    <row r="192" spans="1:31" x14ac:dyDescent="0.25">
      <c r="A192" s="218" t="s">
        <v>474</v>
      </c>
      <c r="B192" s="218" t="s">
        <v>517</v>
      </c>
      <c r="C192" s="155" t="s">
        <v>175</v>
      </c>
      <c r="D192" s="156">
        <v>4646753</v>
      </c>
      <c r="E192" s="170" t="s">
        <v>171</v>
      </c>
      <c r="F192" s="170">
        <v>0</v>
      </c>
      <c r="G192" s="170">
        <v>1</v>
      </c>
      <c r="H192" s="6">
        <v>1</v>
      </c>
      <c r="I192" s="6">
        <v>1</v>
      </c>
      <c r="K192" s="6">
        <v>1</v>
      </c>
      <c r="O192" s="6">
        <v>1</v>
      </c>
      <c r="U192" s="6">
        <v>0</v>
      </c>
    </row>
    <row r="193" spans="1:31" x14ac:dyDescent="0.25">
      <c r="C193" s="234" t="s">
        <v>117</v>
      </c>
      <c r="D193" s="167">
        <v>1429898</v>
      </c>
      <c r="E193" s="170" t="s">
        <v>65</v>
      </c>
      <c r="F193" s="6">
        <v>0</v>
      </c>
      <c r="G193" s="6">
        <v>1</v>
      </c>
      <c r="H193" s="6">
        <v>0</v>
      </c>
      <c r="U193" s="6">
        <v>0</v>
      </c>
    </row>
    <row r="194" spans="1:31" x14ac:dyDescent="0.25">
      <c r="C194" s="155" t="s">
        <v>182</v>
      </c>
      <c r="D194" s="156">
        <v>5059887</v>
      </c>
      <c r="E194" s="170" t="s">
        <v>171</v>
      </c>
      <c r="F194" s="170">
        <v>0</v>
      </c>
      <c r="G194" s="170">
        <v>1</v>
      </c>
      <c r="H194" s="6">
        <v>2</v>
      </c>
      <c r="K194" s="6">
        <v>2</v>
      </c>
      <c r="O194" s="6">
        <v>2</v>
      </c>
      <c r="U194" s="6">
        <v>0</v>
      </c>
    </row>
    <row r="195" spans="1:31" x14ac:dyDescent="0.25">
      <c r="C195" s="234" t="s">
        <v>83</v>
      </c>
      <c r="D195" s="167">
        <v>6648143</v>
      </c>
      <c r="E195" s="170" t="s">
        <v>65</v>
      </c>
      <c r="F195" s="6">
        <v>0</v>
      </c>
      <c r="G195" s="6">
        <v>1</v>
      </c>
      <c r="H195" s="6">
        <v>0</v>
      </c>
      <c r="U195" s="6">
        <v>0</v>
      </c>
      <c r="AD195" s="6">
        <v>1</v>
      </c>
      <c r="AE195" s="6">
        <v>1</v>
      </c>
    </row>
    <row r="196" spans="1:31" x14ac:dyDescent="0.25">
      <c r="C196" s="187" t="s">
        <v>68</v>
      </c>
      <c r="D196" s="167">
        <v>1817419</v>
      </c>
      <c r="E196" s="170" t="s">
        <v>65</v>
      </c>
      <c r="F196" s="6">
        <v>0</v>
      </c>
      <c r="G196" s="6">
        <v>1</v>
      </c>
      <c r="H196" s="6">
        <v>0</v>
      </c>
      <c r="U196" s="6">
        <v>0</v>
      </c>
    </row>
    <row r="197" spans="1:31" x14ac:dyDescent="0.25">
      <c r="C197" s="242" t="s">
        <v>57</v>
      </c>
      <c r="D197" s="167">
        <v>5576950</v>
      </c>
      <c r="E197" s="170" t="s">
        <v>32</v>
      </c>
      <c r="F197" s="6">
        <v>0</v>
      </c>
      <c r="G197" s="6">
        <v>1</v>
      </c>
      <c r="H197" s="6">
        <v>1</v>
      </c>
      <c r="K197" s="6">
        <v>1</v>
      </c>
      <c r="L197" s="6">
        <v>1</v>
      </c>
      <c r="O197" s="6">
        <v>1</v>
      </c>
      <c r="U197" s="6">
        <v>1</v>
      </c>
      <c r="W197" s="6">
        <v>1</v>
      </c>
      <c r="X197" s="6">
        <v>1</v>
      </c>
      <c r="AE197" s="6">
        <v>2</v>
      </c>
    </row>
    <row r="198" spans="1:31" x14ac:dyDescent="0.25">
      <c r="C198" s="155" t="s">
        <v>247</v>
      </c>
      <c r="D198" s="156">
        <v>6332571</v>
      </c>
      <c r="E198" s="170" t="s">
        <v>242</v>
      </c>
      <c r="F198" s="170">
        <v>0</v>
      </c>
      <c r="G198" s="170">
        <v>1</v>
      </c>
      <c r="H198" s="6">
        <v>0</v>
      </c>
      <c r="U198" s="6">
        <v>0</v>
      </c>
    </row>
    <row r="199" spans="1:31" x14ac:dyDescent="0.25">
      <c r="A199" s="218" t="s">
        <v>345</v>
      </c>
      <c r="B199" s="217" t="s">
        <v>517</v>
      </c>
      <c r="C199" s="236" t="s">
        <v>290</v>
      </c>
      <c r="D199" s="6">
        <v>1228610</v>
      </c>
      <c r="E199" s="6" t="s">
        <v>242</v>
      </c>
      <c r="F199" s="170">
        <v>0</v>
      </c>
      <c r="G199" s="170">
        <v>1</v>
      </c>
      <c r="H199" s="167">
        <v>0</v>
      </c>
      <c r="U199" s="167">
        <v>0</v>
      </c>
    </row>
    <row r="200" spans="1:31" x14ac:dyDescent="0.25">
      <c r="A200" s="218" t="s">
        <v>325</v>
      </c>
      <c r="B200" s="218" t="s">
        <v>517</v>
      </c>
      <c r="C200" s="252" t="s">
        <v>221</v>
      </c>
      <c r="D200" s="205">
        <v>865936</v>
      </c>
      <c r="E200" s="6" t="s">
        <v>171</v>
      </c>
      <c r="F200" s="170">
        <v>0</v>
      </c>
      <c r="G200" s="170">
        <v>1</v>
      </c>
      <c r="H200" s="6">
        <v>1</v>
      </c>
      <c r="O200" s="6">
        <v>1</v>
      </c>
      <c r="U200" s="6">
        <v>0</v>
      </c>
    </row>
    <row r="201" spans="1:31" x14ac:dyDescent="0.25">
      <c r="C201" s="20" t="s">
        <v>84</v>
      </c>
      <c r="D201" s="20">
        <v>5191378</v>
      </c>
      <c r="E201" s="170" t="s">
        <v>65</v>
      </c>
      <c r="F201" s="6">
        <v>0</v>
      </c>
      <c r="G201" s="6">
        <v>1</v>
      </c>
      <c r="H201" s="6">
        <v>0</v>
      </c>
      <c r="U201" s="6">
        <v>0</v>
      </c>
    </row>
    <row r="202" spans="1:31" x14ac:dyDescent="0.25">
      <c r="A202" s="218" t="s">
        <v>427</v>
      </c>
      <c r="B202" s="218" t="s">
        <v>517</v>
      </c>
      <c r="C202" s="253" t="s">
        <v>266</v>
      </c>
      <c r="D202" s="254">
        <v>3334743</v>
      </c>
      <c r="E202" s="170" t="s">
        <v>242</v>
      </c>
      <c r="F202" s="170">
        <v>0</v>
      </c>
      <c r="G202" s="186">
        <v>1</v>
      </c>
      <c r="H202" s="6">
        <v>0</v>
      </c>
      <c r="U202" s="6">
        <v>1</v>
      </c>
      <c r="Z202" s="6">
        <v>1</v>
      </c>
    </row>
    <row r="203" spans="1:31" x14ac:dyDescent="0.25">
      <c r="C203" s="253" t="s">
        <v>259</v>
      </c>
      <c r="D203" s="254">
        <v>5532430</v>
      </c>
      <c r="E203" s="170" t="s">
        <v>242</v>
      </c>
      <c r="F203" s="170">
        <v>1</v>
      </c>
      <c r="G203" s="170">
        <v>1</v>
      </c>
      <c r="H203" s="6" t="s">
        <v>172</v>
      </c>
      <c r="U203" s="6" t="s">
        <v>172</v>
      </c>
    </row>
    <row r="204" spans="1:31" x14ac:dyDescent="0.25">
      <c r="A204" s="218" t="s">
        <v>478</v>
      </c>
      <c r="B204" s="218" t="s">
        <v>517</v>
      </c>
      <c r="C204" s="252" t="s">
        <v>217</v>
      </c>
      <c r="D204" s="255">
        <v>4651408</v>
      </c>
      <c r="E204" s="6" t="s">
        <v>171</v>
      </c>
      <c r="F204" s="170">
        <v>0</v>
      </c>
      <c r="G204" s="170">
        <v>1</v>
      </c>
      <c r="H204" s="6">
        <v>0</v>
      </c>
      <c r="U204" s="167">
        <v>0</v>
      </c>
    </row>
    <row r="205" spans="1:31" x14ac:dyDescent="0.25">
      <c r="C205" s="253" t="s">
        <v>262</v>
      </c>
      <c r="D205" s="254">
        <v>6283137</v>
      </c>
      <c r="E205" s="170" t="s">
        <v>242</v>
      </c>
      <c r="F205" s="170">
        <v>1</v>
      </c>
      <c r="G205" s="170">
        <v>1</v>
      </c>
      <c r="H205" s="6" t="s">
        <v>172</v>
      </c>
      <c r="U205" s="6" t="s">
        <v>172</v>
      </c>
    </row>
    <row r="206" spans="1:31" ht="15.75" x14ac:dyDescent="0.25">
      <c r="A206" s="218" t="s">
        <v>426</v>
      </c>
      <c r="B206" s="218" t="s">
        <v>517</v>
      </c>
      <c r="C206" s="256" t="s">
        <v>267</v>
      </c>
      <c r="D206" s="205">
        <v>3318633</v>
      </c>
      <c r="E206" s="170" t="s">
        <v>242</v>
      </c>
      <c r="F206" s="170">
        <v>0</v>
      </c>
      <c r="G206" s="170">
        <v>1</v>
      </c>
      <c r="H206" s="6">
        <v>0</v>
      </c>
      <c r="U206" s="6">
        <v>0</v>
      </c>
    </row>
    <row r="207" spans="1:31" x14ac:dyDescent="0.25">
      <c r="A207" s="218" t="s">
        <v>442</v>
      </c>
      <c r="B207" s="218" t="s">
        <v>517</v>
      </c>
      <c r="C207" s="253" t="s">
        <v>257</v>
      </c>
      <c r="D207" s="254">
        <v>3693077</v>
      </c>
      <c r="E207" s="170" t="s">
        <v>242</v>
      </c>
      <c r="F207" s="170">
        <v>0</v>
      </c>
      <c r="G207" s="170">
        <v>1</v>
      </c>
      <c r="H207" s="6">
        <v>0</v>
      </c>
      <c r="U207" s="6">
        <v>0</v>
      </c>
    </row>
    <row r="208" spans="1:31" x14ac:dyDescent="0.25">
      <c r="C208" s="257" t="s">
        <v>150</v>
      </c>
      <c r="D208" s="258" t="s">
        <v>151</v>
      </c>
      <c r="E208" s="6" t="s">
        <v>148</v>
      </c>
      <c r="F208" s="6">
        <v>0</v>
      </c>
      <c r="G208" s="6">
        <v>1</v>
      </c>
      <c r="H208" s="6">
        <v>0</v>
      </c>
      <c r="U208" s="6">
        <v>0</v>
      </c>
    </row>
    <row r="209" spans="1:21" x14ac:dyDescent="0.25">
      <c r="A209" s="218" t="s">
        <v>319</v>
      </c>
      <c r="B209" s="218" t="s">
        <v>517</v>
      </c>
      <c r="C209" s="252" t="s">
        <v>240</v>
      </c>
      <c r="D209" s="205">
        <v>626247</v>
      </c>
      <c r="E209" s="6" t="s">
        <v>171</v>
      </c>
      <c r="F209" s="170">
        <v>0</v>
      </c>
      <c r="G209" s="170">
        <v>1</v>
      </c>
      <c r="H209" s="6">
        <v>1</v>
      </c>
      <c r="K209" s="6">
        <v>1</v>
      </c>
      <c r="P209" s="6">
        <v>1</v>
      </c>
      <c r="U209" s="6">
        <v>0</v>
      </c>
    </row>
  </sheetData>
  <sortState xmlns:xlrd2="http://schemas.microsoft.com/office/spreadsheetml/2017/richdata2" ref="A2:AE209">
    <sortCondition ref="C1:C2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EA98-F912-4B21-94FD-D3EA72445C30}">
  <dimension ref="A1:AF209"/>
  <sheetViews>
    <sheetView topLeftCell="B1" workbookViewId="0">
      <pane ySplit="1" topLeftCell="A172" activePane="bottomLeft" state="frozen"/>
      <selection pane="bottomLeft" activeCell="C1" sqref="C1:C1048576"/>
    </sheetView>
  </sheetViews>
  <sheetFormatPr defaultRowHeight="15" x14ac:dyDescent="0.25"/>
  <cols>
    <col min="3" max="3" width="26.140625" bestFit="1" customWidth="1"/>
    <col min="4" max="4" width="15.140625" customWidth="1"/>
    <col min="6" max="6" width="26.28515625" customWidth="1"/>
    <col min="7" max="7" width="15.5703125" customWidth="1"/>
    <col min="10" max="10" width="10.28515625" bestFit="1" customWidth="1"/>
    <col min="11" max="11" width="19.7109375" bestFit="1" customWidth="1"/>
    <col min="12" max="12" width="22" bestFit="1" customWidth="1"/>
    <col min="13" max="13" width="19.140625" bestFit="1" customWidth="1"/>
    <col min="15" max="15" width="17.42578125" bestFit="1" customWidth="1"/>
    <col min="20" max="20" width="39" customWidth="1"/>
  </cols>
  <sheetData>
    <row r="1" spans="1:31" ht="30" x14ac:dyDescent="0.25">
      <c r="A1" t="s">
        <v>516</v>
      </c>
      <c r="B1" t="s">
        <v>515</v>
      </c>
      <c r="C1" s="1" t="s">
        <v>0</v>
      </c>
      <c r="D1" s="2" t="s">
        <v>1</v>
      </c>
      <c r="E1" s="145" t="s">
        <v>5</v>
      </c>
      <c r="F1" s="188" t="s">
        <v>525</v>
      </c>
      <c r="G1" s="188" t="s">
        <v>526</v>
      </c>
      <c r="H1" s="146" t="s">
        <v>8</v>
      </c>
      <c r="I1" s="146" t="s">
        <v>9</v>
      </c>
      <c r="J1" s="146" t="s">
        <v>10</v>
      </c>
      <c r="K1" s="146" t="s">
        <v>11</v>
      </c>
      <c r="L1" s="146" t="s">
        <v>12</v>
      </c>
      <c r="M1" s="146" t="s">
        <v>13</v>
      </c>
      <c r="N1" s="146" t="s">
        <v>14</v>
      </c>
      <c r="O1" s="146" t="s">
        <v>15</v>
      </c>
      <c r="P1" s="146" t="s">
        <v>16</v>
      </c>
      <c r="Q1" s="146" t="s">
        <v>17</v>
      </c>
      <c r="R1" s="146" t="s">
        <v>18</v>
      </c>
      <c r="S1" s="146" t="s">
        <v>19</v>
      </c>
      <c r="T1" s="146" t="s">
        <v>20</v>
      </c>
      <c r="U1" s="27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20</v>
      </c>
      <c r="AD1" s="147" t="s">
        <v>29</v>
      </c>
      <c r="AE1" s="147" t="s">
        <v>30</v>
      </c>
    </row>
    <row r="2" spans="1:31" x14ac:dyDescent="0.25">
      <c r="C2" s="151" t="s">
        <v>115</v>
      </c>
      <c r="D2" s="167">
        <v>6344639</v>
      </c>
      <c r="E2" s="159" t="s">
        <v>65</v>
      </c>
      <c r="F2" s="10">
        <v>0</v>
      </c>
      <c r="G2" s="10">
        <v>1</v>
      </c>
      <c r="H2" s="10">
        <v>1</v>
      </c>
      <c r="I2" s="10"/>
      <c r="J2" s="10"/>
      <c r="K2" s="10">
        <v>1</v>
      </c>
      <c r="L2" s="10"/>
      <c r="M2" s="10">
        <v>1</v>
      </c>
      <c r="N2" s="10"/>
      <c r="O2" s="10"/>
      <c r="P2" s="10"/>
      <c r="Q2" s="10">
        <v>1</v>
      </c>
      <c r="R2" s="10"/>
      <c r="S2" s="10"/>
      <c r="T2" s="10"/>
      <c r="U2" s="10">
        <v>0</v>
      </c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x14ac:dyDescent="0.25">
      <c r="C3" s="150" t="s">
        <v>202</v>
      </c>
      <c r="D3" s="149">
        <v>2192350</v>
      </c>
      <c r="E3" s="150" t="s">
        <v>171</v>
      </c>
      <c r="F3" s="159">
        <v>0</v>
      </c>
      <c r="G3" s="159">
        <v>1</v>
      </c>
      <c r="H3" s="150">
        <v>2</v>
      </c>
      <c r="I3" s="150"/>
      <c r="J3" s="150"/>
      <c r="K3" s="150">
        <v>2</v>
      </c>
      <c r="L3" s="150"/>
      <c r="M3" s="150"/>
      <c r="N3" s="150"/>
      <c r="O3" s="150">
        <v>2</v>
      </c>
      <c r="P3" s="150"/>
      <c r="Q3" s="150"/>
      <c r="R3" s="150"/>
      <c r="S3" s="150"/>
      <c r="T3" s="150" t="s">
        <v>203</v>
      </c>
      <c r="U3" s="150">
        <v>2</v>
      </c>
      <c r="V3" s="150"/>
      <c r="W3" s="150"/>
      <c r="X3" s="150"/>
      <c r="Y3" s="150"/>
      <c r="Z3" s="150">
        <v>2</v>
      </c>
      <c r="AA3" s="150">
        <v>2</v>
      </c>
      <c r="AB3" s="150">
        <v>1</v>
      </c>
      <c r="AC3" s="150" t="s">
        <v>519</v>
      </c>
      <c r="AD3" s="150"/>
      <c r="AE3" s="150"/>
    </row>
    <row r="4" spans="1:31" x14ac:dyDescent="0.25">
      <c r="C4" s="151" t="s">
        <v>104</v>
      </c>
      <c r="D4" s="167">
        <v>2293334</v>
      </c>
      <c r="E4" s="159" t="s">
        <v>65</v>
      </c>
      <c r="F4" s="10">
        <v>0</v>
      </c>
      <c r="G4" s="10">
        <v>1</v>
      </c>
      <c r="H4" s="10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v>0</v>
      </c>
      <c r="V4" s="10"/>
      <c r="W4" s="10"/>
      <c r="X4" s="10"/>
      <c r="Y4" s="10"/>
      <c r="Z4" s="10"/>
      <c r="AA4" s="10"/>
      <c r="AB4" s="10"/>
      <c r="AC4" s="10"/>
      <c r="AD4" s="10">
        <v>1</v>
      </c>
      <c r="AE4" s="10">
        <v>2</v>
      </c>
    </row>
    <row r="5" spans="1:31" x14ac:dyDescent="0.25">
      <c r="C5" s="151" t="s">
        <v>223</v>
      </c>
      <c r="D5" s="152">
        <v>3925175</v>
      </c>
      <c r="E5" s="164" t="s">
        <v>171</v>
      </c>
      <c r="F5" s="159">
        <v>0</v>
      </c>
      <c r="G5" s="159">
        <v>1</v>
      </c>
      <c r="H5" s="151">
        <v>1</v>
      </c>
      <c r="I5" s="151"/>
      <c r="J5" s="151"/>
      <c r="K5" s="151">
        <v>1</v>
      </c>
      <c r="L5" s="151"/>
      <c r="M5" s="151"/>
      <c r="N5" s="151"/>
      <c r="O5" s="151"/>
      <c r="P5" s="151"/>
      <c r="Q5" s="151"/>
      <c r="R5" s="151"/>
      <c r="S5" s="151"/>
      <c r="T5" s="151"/>
      <c r="U5" s="151">
        <v>0</v>
      </c>
      <c r="V5" s="151"/>
      <c r="W5" s="151"/>
      <c r="X5" s="151"/>
      <c r="Y5" s="151"/>
      <c r="Z5" s="151"/>
      <c r="AA5" s="151"/>
      <c r="AB5" s="151"/>
      <c r="AC5" s="151"/>
      <c r="AD5" s="151"/>
      <c r="AE5" s="151"/>
    </row>
    <row r="6" spans="1:31" x14ac:dyDescent="0.25">
      <c r="C6" s="148" t="s">
        <v>184</v>
      </c>
      <c r="D6" s="149">
        <v>1081580</v>
      </c>
      <c r="E6" s="159" t="s">
        <v>171</v>
      </c>
      <c r="F6" s="159">
        <v>0</v>
      </c>
      <c r="G6" s="159">
        <v>1</v>
      </c>
      <c r="H6">
        <v>0</v>
      </c>
      <c r="U6">
        <v>0</v>
      </c>
    </row>
    <row r="7" spans="1:31" x14ac:dyDescent="0.25">
      <c r="C7" s="153" t="s">
        <v>218</v>
      </c>
      <c r="D7" s="154">
        <v>5901224</v>
      </c>
      <c r="E7" s="164" t="s">
        <v>171</v>
      </c>
      <c r="F7" s="159">
        <v>1</v>
      </c>
      <c r="G7" s="159">
        <v>1</v>
      </c>
      <c r="H7" t="s">
        <v>172</v>
      </c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</row>
    <row r="8" spans="1:31" x14ac:dyDescent="0.25">
      <c r="C8" s="151" t="s">
        <v>137</v>
      </c>
      <c r="D8" s="167">
        <v>6661252</v>
      </c>
      <c r="E8" s="159" t="s">
        <v>65</v>
      </c>
      <c r="F8" s="10">
        <v>0</v>
      </c>
      <c r="G8" s="10">
        <v>1</v>
      </c>
      <c r="H8" s="10"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0</v>
      </c>
      <c r="V8" s="10"/>
      <c r="W8" s="10"/>
      <c r="X8" s="10"/>
      <c r="Y8" s="10"/>
      <c r="Z8" s="10"/>
      <c r="AA8" s="10"/>
      <c r="AB8" s="10"/>
      <c r="AC8" s="10"/>
      <c r="AD8" s="10"/>
      <c r="AE8" s="10">
        <v>2</v>
      </c>
    </row>
    <row r="9" spans="1:31" x14ac:dyDescent="0.25">
      <c r="C9" s="153" t="s">
        <v>75</v>
      </c>
      <c r="D9" s="164">
        <v>4028469</v>
      </c>
      <c r="E9" s="159" t="s">
        <v>65</v>
      </c>
      <c r="F9" s="10">
        <v>0</v>
      </c>
      <c r="G9" s="10">
        <v>1</v>
      </c>
      <c r="H9" s="10">
        <v>1</v>
      </c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>
        <v>0</v>
      </c>
      <c r="V9" s="10"/>
      <c r="W9" s="10"/>
      <c r="X9" s="10"/>
      <c r="Y9" s="10"/>
      <c r="Z9" s="10"/>
      <c r="AA9" s="10"/>
      <c r="AB9" s="10"/>
      <c r="AC9" s="10"/>
      <c r="AD9" s="10"/>
      <c r="AE9" s="10">
        <v>2</v>
      </c>
    </row>
    <row r="10" spans="1:31" x14ac:dyDescent="0.25">
      <c r="C10" s="155" t="s">
        <v>199</v>
      </c>
      <c r="D10" s="156">
        <v>4333565</v>
      </c>
      <c r="E10" s="158" t="s">
        <v>171</v>
      </c>
      <c r="F10" s="159">
        <v>0</v>
      </c>
      <c r="G10" s="159">
        <v>1</v>
      </c>
      <c r="H10">
        <v>2</v>
      </c>
      <c r="K10">
        <v>2</v>
      </c>
      <c r="O10">
        <v>2</v>
      </c>
      <c r="T10" t="s">
        <v>200</v>
      </c>
      <c r="U10">
        <v>0</v>
      </c>
    </row>
    <row r="11" spans="1:31" x14ac:dyDescent="0.25">
      <c r="C11" s="151" t="s">
        <v>86</v>
      </c>
      <c r="D11" s="167">
        <v>2742922</v>
      </c>
      <c r="E11" s="159" t="s">
        <v>65</v>
      </c>
      <c r="F11" s="10">
        <v>0</v>
      </c>
      <c r="G11" s="10">
        <v>1</v>
      </c>
      <c r="H11" s="10"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0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5">
      <c r="C12" s="151" t="s">
        <v>120</v>
      </c>
      <c r="D12" s="167">
        <v>6673787</v>
      </c>
      <c r="E12" s="159" t="s">
        <v>65</v>
      </c>
      <c r="F12" s="13">
        <v>1</v>
      </c>
      <c r="G12" s="13">
        <v>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25">
      <c r="C13" s="151" t="s">
        <v>127</v>
      </c>
      <c r="D13" s="164">
        <v>4196956</v>
      </c>
      <c r="E13" s="159" t="s">
        <v>65</v>
      </c>
      <c r="F13" s="10">
        <v>0</v>
      </c>
      <c r="G13" s="10">
        <v>1</v>
      </c>
      <c r="H13" s="10">
        <v>0</v>
      </c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>
        <v>1</v>
      </c>
      <c r="V13" s="10">
        <v>1</v>
      </c>
      <c r="W13" s="10"/>
      <c r="X13" s="10"/>
      <c r="Y13" s="10"/>
      <c r="Z13" s="10"/>
      <c r="AA13" s="10"/>
      <c r="AB13" s="10"/>
      <c r="AC13" s="10"/>
      <c r="AD13" s="10">
        <v>1</v>
      </c>
      <c r="AE13" s="10">
        <v>2</v>
      </c>
    </row>
    <row r="14" spans="1:31" x14ac:dyDescent="0.25">
      <c r="C14" s="153" t="s">
        <v>56</v>
      </c>
      <c r="D14" s="164">
        <v>6515626</v>
      </c>
      <c r="E14" s="159" t="s">
        <v>32</v>
      </c>
      <c r="F14" s="10">
        <v>0</v>
      </c>
      <c r="G14" s="10">
        <v>1</v>
      </c>
      <c r="H14" s="10">
        <v>1</v>
      </c>
      <c r="I14" s="10"/>
      <c r="J14" s="10"/>
      <c r="K14" s="10">
        <v>1</v>
      </c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/>
      <c r="AB14" s="10">
        <v>1</v>
      </c>
      <c r="AC14" s="10"/>
      <c r="AD14" s="10"/>
      <c r="AE14" s="10"/>
    </row>
    <row r="15" spans="1:31" x14ac:dyDescent="0.25">
      <c r="C15" s="153" t="s">
        <v>227</v>
      </c>
      <c r="D15" s="154">
        <v>4839122</v>
      </c>
      <c r="E15" s="164" t="s">
        <v>171</v>
      </c>
      <c r="F15" s="159">
        <v>0</v>
      </c>
      <c r="G15" s="159">
        <v>1</v>
      </c>
      <c r="H15" s="151">
        <v>0</v>
      </c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>
        <v>0</v>
      </c>
      <c r="W15" s="151"/>
      <c r="X15" s="151"/>
      <c r="Y15" s="151"/>
      <c r="Z15" s="151"/>
      <c r="AA15" s="151"/>
      <c r="AB15" s="151"/>
      <c r="AC15" s="151"/>
      <c r="AD15" s="151"/>
      <c r="AE15" s="151"/>
    </row>
    <row r="16" spans="1:31" x14ac:dyDescent="0.25">
      <c r="C16" s="151" t="s">
        <v>59</v>
      </c>
      <c r="D16" s="167">
        <v>4223888</v>
      </c>
      <c r="E16" s="159" t="s">
        <v>40</v>
      </c>
      <c r="F16" s="13">
        <v>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3:32" x14ac:dyDescent="0.25">
      <c r="C17" s="151" t="s">
        <v>211</v>
      </c>
      <c r="D17" s="152">
        <v>6349772</v>
      </c>
      <c r="E17" s="164" t="s">
        <v>171</v>
      </c>
      <c r="F17" s="159">
        <v>0</v>
      </c>
      <c r="G17" s="159">
        <v>1</v>
      </c>
      <c r="H17" s="151">
        <v>1</v>
      </c>
      <c r="I17" s="151"/>
      <c r="J17" s="151"/>
      <c r="K17" s="151">
        <v>1</v>
      </c>
      <c r="L17" s="151">
        <v>1</v>
      </c>
      <c r="M17" s="151"/>
      <c r="N17" s="151"/>
      <c r="O17" s="151">
        <v>1</v>
      </c>
      <c r="P17" s="151"/>
      <c r="Q17" s="151"/>
      <c r="R17" s="151"/>
      <c r="S17" s="151"/>
      <c r="T17" s="151"/>
      <c r="U17" s="151">
        <v>0</v>
      </c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</row>
    <row r="18" spans="3:32" x14ac:dyDescent="0.25">
      <c r="C18" s="151" t="s">
        <v>88</v>
      </c>
      <c r="D18" s="167">
        <v>2008227</v>
      </c>
      <c r="E18" s="159" t="s">
        <v>65</v>
      </c>
      <c r="F18" s="10">
        <v>0</v>
      </c>
      <c r="G18" s="10">
        <v>1</v>
      </c>
      <c r="H18" s="10">
        <v>1</v>
      </c>
      <c r="I18" s="10"/>
      <c r="J18" s="10"/>
      <c r="K18" s="10">
        <v>1</v>
      </c>
      <c r="L18" s="10"/>
      <c r="M18" s="10">
        <v>1</v>
      </c>
      <c r="N18" s="10"/>
      <c r="O18" s="10">
        <v>1</v>
      </c>
      <c r="P18" s="10"/>
      <c r="Q18" s="10">
        <v>1</v>
      </c>
      <c r="R18" s="10"/>
      <c r="S18" s="10"/>
      <c r="T18" s="10"/>
      <c r="U18" s="10">
        <v>0</v>
      </c>
      <c r="V18" s="10"/>
      <c r="W18" s="10"/>
      <c r="X18" s="10"/>
      <c r="Y18" s="10"/>
      <c r="Z18" s="10"/>
      <c r="AA18" s="10"/>
      <c r="AB18" s="10"/>
      <c r="AC18" s="10"/>
      <c r="AD18" s="10">
        <v>1</v>
      </c>
      <c r="AE18" s="10">
        <v>2</v>
      </c>
    </row>
    <row r="19" spans="3:32" x14ac:dyDescent="0.25">
      <c r="C19" s="122" t="s">
        <v>153</v>
      </c>
      <c r="D19" s="112">
        <v>3695498</v>
      </c>
      <c r="E19" s="10" t="s">
        <v>148</v>
      </c>
      <c r="F19" s="13">
        <v>1</v>
      </c>
      <c r="G19" s="13">
        <v>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0"/>
    </row>
    <row r="20" spans="3:32" x14ac:dyDescent="0.25">
      <c r="C20" s="157" t="s">
        <v>195</v>
      </c>
      <c r="D20" s="158">
        <v>762097</v>
      </c>
      <c r="E20" s="159" t="s">
        <v>171</v>
      </c>
      <c r="F20" s="159">
        <v>0</v>
      </c>
      <c r="G20" s="159">
        <v>1</v>
      </c>
      <c r="H20">
        <v>0</v>
      </c>
      <c r="U20">
        <v>0</v>
      </c>
    </row>
    <row r="21" spans="3:32" x14ac:dyDescent="0.25">
      <c r="C21" s="159" t="s">
        <v>264</v>
      </c>
      <c r="D21" s="149">
        <v>1764235</v>
      </c>
      <c r="E21" s="159" t="s">
        <v>242</v>
      </c>
      <c r="F21" s="159">
        <v>0</v>
      </c>
      <c r="G21" s="159">
        <v>1</v>
      </c>
      <c r="H21">
        <v>0</v>
      </c>
      <c r="U21">
        <v>0</v>
      </c>
    </row>
    <row r="22" spans="3:32" x14ac:dyDescent="0.25">
      <c r="C22" s="151" t="s">
        <v>103</v>
      </c>
      <c r="D22" s="167">
        <v>6594458</v>
      </c>
      <c r="E22" s="159" t="s">
        <v>65</v>
      </c>
      <c r="F22" s="10">
        <v>0</v>
      </c>
      <c r="G22" s="10">
        <v>1</v>
      </c>
      <c r="H22" s="10">
        <v>1</v>
      </c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>
        <v>0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3:32" x14ac:dyDescent="0.25">
      <c r="C23" s="148" t="s">
        <v>224</v>
      </c>
      <c r="D23" s="149">
        <v>1658581</v>
      </c>
      <c r="E23" s="159" t="s">
        <v>171</v>
      </c>
      <c r="F23" s="159">
        <v>0</v>
      </c>
      <c r="G23" s="159">
        <v>1</v>
      </c>
      <c r="H23" s="165">
        <v>1</v>
      </c>
      <c r="I23" s="165"/>
      <c r="J23" s="165"/>
      <c r="K23" s="165">
        <v>1</v>
      </c>
      <c r="L23" s="165"/>
      <c r="M23" s="165"/>
      <c r="N23" s="165"/>
      <c r="O23" s="165"/>
      <c r="P23" s="165"/>
      <c r="Q23" s="165"/>
      <c r="R23" s="165"/>
      <c r="S23" s="165"/>
      <c r="T23" s="165"/>
      <c r="U23" s="165">
        <v>0</v>
      </c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</row>
    <row r="24" spans="3:32" x14ac:dyDescent="0.25">
      <c r="C24" s="157" t="s">
        <v>192</v>
      </c>
      <c r="D24" s="160">
        <v>5425370</v>
      </c>
      <c r="E24" s="158" t="s">
        <v>171</v>
      </c>
      <c r="F24" s="159">
        <v>0</v>
      </c>
      <c r="G24" s="159">
        <v>1</v>
      </c>
      <c r="H24">
        <v>2</v>
      </c>
      <c r="M24">
        <v>2</v>
      </c>
      <c r="O24">
        <v>2</v>
      </c>
      <c r="T24" t="s">
        <v>193</v>
      </c>
      <c r="U24">
        <v>0</v>
      </c>
    </row>
    <row r="25" spans="3:32" x14ac:dyDescent="0.25">
      <c r="C25" s="148" t="s">
        <v>252</v>
      </c>
      <c r="D25" s="149">
        <v>1743204</v>
      </c>
      <c r="E25" s="159" t="s">
        <v>242</v>
      </c>
      <c r="F25" s="159">
        <v>0</v>
      </c>
      <c r="G25" s="159">
        <v>1</v>
      </c>
      <c r="H25">
        <v>2</v>
      </c>
      <c r="M25">
        <v>2</v>
      </c>
      <c r="Q25">
        <v>1</v>
      </c>
      <c r="U25">
        <v>0</v>
      </c>
    </row>
    <row r="26" spans="3:32" x14ac:dyDescent="0.25">
      <c r="C26" s="153" t="s">
        <v>233</v>
      </c>
      <c r="D26" s="161">
        <v>6124037</v>
      </c>
      <c r="E26" s="164" t="s">
        <v>171</v>
      </c>
      <c r="F26" s="159">
        <v>0</v>
      </c>
      <c r="G26" s="159">
        <v>1</v>
      </c>
      <c r="H26" s="151">
        <v>2</v>
      </c>
      <c r="I26" s="151">
        <v>2</v>
      </c>
      <c r="J26" s="151">
        <v>2</v>
      </c>
      <c r="K26" s="151"/>
      <c r="L26" s="151">
        <v>2</v>
      </c>
      <c r="M26" s="151"/>
      <c r="N26" s="151"/>
      <c r="O26" s="151"/>
      <c r="P26" s="151">
        <v>2</v>
      </c>
      <c r="Q26" s="151"/>
      <c r="R26" s="151"/>
      <c r="S26" s="151"/>
      <c r="T26" s="151" t="s">
        <v>527</v>
      </c>
      <c r="U26" s="151">
        <v>1</v>
      </c>
      <c r="V26" s="151"/>
      <c r="W26" s="151"/>
      <c r="X26" s="151">
        <v>1</v>
      </c>
      <c r="Y26" s="151"/>
      <c r="Z26" s="151">
        <v>1</v>
      </c>
      <c r="AA26" s="151">
        <v>1</v>
      </c>
      <c r="AB26" s="151"/>
      <c r="AC26" s="151"/>
      <c r="AD26" s="151"/>
      <c r="AE26" s="151"/>
    </row>
    <row r="27" spans="3:32" x14ac:dyDescent="0.25">
      <c r="C27" s="182" t="s">
        <v>96</v>
      </c>
      <c r="D27" s="167">
        <v>4270218</v>
      </c>
      <c r="E27" s="159" t="s">
        <v>65</v>
      </c>
      <c r="F27" s="10">
        <v>1</v>
      </c>
      <c r="G27" s="10">
        <v>1</v>
      </c>
      <c r="H27" s="10">
        <v>1</v>
      </c>
      <c r="I27" s="10"/>
      <c r="J27" s="10"/>
      <c r="K27" s="10">
        <v>1</v>
      </c>
      <c r="L27" s="10"/>
      <c r="M27" s="10"/>
      <c r="N27" s="10"/>
      <c r="O27" s="10">
        <v>1</v>
      </c>
      <c r="P27" s="10"/>
      <c r="Q27" s="10">
        <v>1</v>
      </c>
      <c r="R27" s="10"/>
      <c r="S27" s="10"/>
      <c r="T27" s="10"/>
      <c r="U27" s="10">
        <v>0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3:32" x14ac:dyDescent="0.25">
      <c r="C28" s="192" t="s">
        <v>146</v>
      </c>
      <c r="D28" s="203" t="s">
        <v>147</v>
      </c>
      <c r="E28" s="10" t="s">
        <v>148</v>
      </c>
      <c r="F28" s="10">
        <v>0</v>
      </c>
      <c r="G28" s="10">
        <v>1</v>
      </c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0</v>
      </c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</row>
    <row r="29" spans="3:32" x14ac:dyDescent="0.25">
      <c r="C29" s="148" t="s">
        <v>177</v>
      </c>
      <c r="D29" s="149">
        <v>2024736</v>
      </c>
      <c r="E29" s="159" t="s">
        <v>171</v>
      </c>
      <c r="F29" s="159">
        <v>0</v>
      </c>
      <c r="G29" s="169">
        <v>1</v>
      </c>
      <c r="H29">
        <v>1</v>
      </c>
      <c r="K29">
        <v>1</v>
      </c>
      <c r="M29">
        <v>1</v>
      </c>
      <c r="U29">
        <v>0</v>
      </c>
    </row>
    <row r="30" spans="3:32" x14ac:dyDescent="0.25">
      <c r="C30" s="148" t="s">
        <v>244</v>
      </c>
      <c r="D30" s="149">
        <v>2363434</v>
      </c>
      <c r="E30" s="179" t="s">
        <v>242</v>
      </c>
      <c r="F30" s="159">
        <v>0</v>
      </c>
      <c r="G30" s="179">
        <v>1</v>
      </c>
      <c r="H30">
        <v>2</v>
      </c>
      <c r="L30">
        <v>2</v>
      </c>
      <c r="O30">
        <v>2</v>
      </c>
      <c r="U30">
        <v>0</v>
      </c>
    </row>
    <row r="31" spans="3:32" x14ac:dyDescent="0.25">
      <c r="C31" s="169" t="s">
        <v>38</v>
      </c>
      <c r="D31" s="169">
        <v>445884</v>
      </c>
      <c r="E31" s="169" t="s">
        <v>32</v>
      </c>
      <c r="F31" s="10">
        <v>0</v>
      </c>
      <c r="G31" s="10">
        <v>1</v>
      </c>
      <c r="H31" s="10">
        <v>1</v>
      </c>
      <c r="I31" s="10"/>
      <c r="J31" s="10"/>
      <c r="K31" s="10">
        <v>1</v>
      </c>
      <c r="L31" s="10"/>
      <c r="M31" s="10"/>
      <c r="N31" s="10"/>
      <c r="O31" s="10">
        <v>1</v>
      </c>
      <c r="P31" s="10"/>
      <c r="Q31" s="10"/>
      <c r="R31" s="10"/>
      <c r="S31" s="10"/>
      <c r="T31" s="10"/>
      <c r="U31" s="10">
        <v>1</v>
      </c>
      <c r="V31" s="10"/>
      <c r="W31" s="10">
        <v>1</v>
      </c>
      <c r="X31" s="10"/>
      <c r="Y31" s="10"/>
      <c r="Z31" s="10"/>
      <c r="AA31" s="10">
        <v>1</v>
      </c>
      <c r="AB31" s="10"/>
      <c r="AC31" s="10"/>
      <c r="AD31" s="10"/>
      <c r="AE31" s="10"/>
      <c r="AF31" t="s">
        <v>530</v>
      </c>
    </row>
    <row r="32" spans="3:32" x14ac:dyDescent="0.25">
      <c r="C32" s="162" t="s">
        <v>269</v>
      </c>
      <c r="D32" s="163">
        <v>6150830</v>
      </c>
      <c r="E32" s="178" t="s">
        <v>242</v>
      </c>
      <c r="F32" s="159">
        <v>0</v>
      </c>
      <c r="G32" s="159">
        <v>1</v>
      </c>
      <c r="H32" s="178">
        <v>2</v>
      </c>
      <c r="I32" s="150"/>
      <c r="J32" s="150"/>
      <c r="K32" s="150">
        <v>2</v>
      </c>
      <c r="L32" s="150"/>
      <c r="M32" s="150">
        <v>2</v>
      </c>
      <c r="N32" s="150"/>
      <c r="O32" s="150">
        <v>2</v>
      </c>
      <c r="P32" s="150"/>
      <c r="Q32" s="150">
        <v>1</v>
      </c>
      <c r="R32" s="150"/>
      <c r="S32" s="150"/>
      <c r="T32" s="150"/>
      <c r="U32" s="150">
        <v>1</v>
      </c>
      <c r="V32" s="150"/>
      <c r="W32" s="150"/>
      <c r="X32" s="150"/>
      <c r="Y32" s="150"/>
      <c r="Z32" s="150"/>
      <c r="AA32" s="150">
        <v>1</v>
      </c>
      <c r="AB32" s="150"/>
      <c r="AC32" s="150"/>
      <c r="AD32" s="150"/>
      <c r="AE32" s="150"/>
    </row>
    <row r="33" spans="3:32" x14ac:dyDescent="0.25">
      <c r="C33" s="153" t="s">
        <v>287</v>
      </c>
      <c r="D33" s="164">
        <v>2581772</v>
      </c>
      <c r="E33" s="164" t="s">
        <v>242</v>
      </c>
      <c r="F33" s="159">
        <v>0</v>
      </c>
      <c r="G33" s="159">
        <v>1</v>
      </c>
      <c r="H33" s="151">
        <v>0</v>
      </c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>
        <v>1</v>
      </c>
      <c r="V33" s="151"/>
      <c r="W33" s="151"/>
      <c r="X33" s="151">
        <v>1</v>
      </c>
      <c r="Y33" s="151"/>
      <c r="Z33" s="151"/>
      <c r="AA33" s="151"/>
      <c r="AB33" s="151"/>
      <c r="AC33" s="151"/>
      <c r="AD33" s="151"/>
      <c r="AE33" s="151"/>
    </row>
    <row r="34" spans="3:32" x14ac:dyDescent="0.25">
      <c r="C34" s="148" t="s">
        <v>250</v>
      </c>
      <c r="D34" s="149">
        <v>5027608</v>
      </c>
      <c r="E34" s="159" t="s">
        <v>242</v>
      </c>
      <c r="F34" s="159">
        <v>0</v>
      </c>
      <c r="G34" s="159">
        <v>1</v>
      </c>
      <c r="H34">
        <v>0</v>
      </c>
      <c r="U34">
        <v>0</v>
      </c>
    </row>
    <row r="35" spans="3:32" x14ac:dyDescent="0.25">
      <c r="C35" s="93" t="s">
        <v>168</v>
      </c>
      <c r="D35" s="200">
        <v>6666857</v>
      </c>
      <c r="E35" s="10" t="s">
        <v>148</v>
      </c>
      <c r="F35" s="10">
        <v>0</v>
      </c>
      <c r="G35" s="10">
        <v>1</v>
      </c>
      <c r="H35" s="10">
        <v>1</v>
      </c>
      <c r="I35" s="10"/>
      <c r="J35" s="10"/>
      <c r="K35" s="10">
        <v>1</v>
      </c>
      <c r="L35" s="10">
        <v>1</v>
      </c>
      <c r="M35" s="10">
        <v>1</v>
      </c>
      <c r="N35" s="10"/>
      <c r="O35" s="10">
        <v>1</v>
      </c>
      <c r="P35" s="10"/>
      <c r="Q35" s="10">
        <v>1</v>
      </c>
      <c r="R35" s="10"/>
      <c r="S35" s="10"/>
      <c r="T35" s="10"/>
      <c r="U35" s="10">
        <v>0</v>
      </c>
      <c r="V35" s="10"/>
      <c r="W35" s="10"/>
      <c r="X35" s="10"/>
      <c r="Y35" s="10"/>
      <c r="Z35" s="10"/>
      <c r="AA35" s="10"/>
      <c r="AB35" s="10"/>
      <c r="AC35" s="10"/>
      <c r="AD35" s="10">
        <v>1</v>
      </c>
      <c r="AE35" s="10">
        <v>1</v>
      </c>
      <c r="AF35" s="10"/>
    </row>
    <row r="36" spans="3:32" x14ac:dyDescent="0.25">
      <c r="C36" s="151" t="s">
        <v>58</v>
      </c>
      <c r="D36" s="183">
        <v>6587602</v>
      </c>
      <c r="E36" s="159" t="s">
        <v>32</v>
      </c>
      <c r="F36" s="10">
        <v>0</v>
      </c>
      <c r="G36" s="10">
        <v>1</v>
      </c>
      <c r="H36" s="10">
        <v>1</v>
      </c>
      <c r="I36" s="10"/>
      <c r="J36" s="10"/>
      <c r="K36" s="10">
        <v>1</v>
      </c>
      <c r="L36" s="10"/>
      <c r="M36" s="10">
        <v>1</v>
      </c>
      <c r="N36" s="10"/>
      <c r="O36" s="10"/>
      <c r="P36" s="10"/>
      <c r="Q36" s="10">
        <v>0</v>
      </c>
      <c r="R36" s="10"/>
      <c r="S36" s="10"/>
      <c r="T36" s="10"/>
      <c r="U36" s="10">
        <v>0</v>
      </c>
      <c r="V36" s="10"/>
      <c r="W36" s="10"/>
      <c r="X36" s="10"/>
      <c r="Y36" s="10"/>
      <c r="Z36" s="10"/>
      <c r="AA36" s="10"/>
      <c r="AB36" s="10"/>
      <c r="AC36" s="10"/>
      <c r="AD36" s="10"/>
      <c r="AE36" s="10">
        <v>1</v>
      </c>
    </row>
    <row r="37" spans="3:32" x14ac:dyDescent="0.25">
      <c r="C37" s="148" t="s">
        <v>255</v>
      </c>
      <c r="D37" s="149">
        <v>4195624</v>
      </c>
      <c r="E37" s="159" t="s">
        <v>242</v>
      </c>
      <c r="F37" s="159">
        <v>0</v>
      </c>
      <c r="G37" s="159">
        <v>1</v>
      </c>
      <c r="H37">
        <v>0</v>
      </c>
      <c r="U37">
        <v>0</v>
      </c>
    </row>
    <row r="38" spans="3:32" x14ac:dyDescent="0.25">
      <c r="C38" s="165" t="s">
        <v>210</v>
      </c>
      <c r="D38" s="156">
        <v>4618189</v>
      </c>
      <c r="E38" t="s">
        <v>171</v>
      </c>
      <c r="F38" s="159">
        <v>0</v>
      </c>
      <c r="G38" s="159">
        <v>1</v>
      </c>
      <c r="H38">
        <v>1</v>
      </c>
      <c r="K38">
        <v>1</v>
      </c>
      <c r="O38">
        <v>1</v>
      </c>
      <c r="U38">
        <v>1</v>
      </c>
      <c r="Z38">
        <v>1</v>
      </c>
    </row>
    <row r="39" spans="3:32" x14ac:dyDescent="0.25">
      <c r="C39" s="157" t="s">
        <v>51</v>
      </c>
      <c r="D39" s="183">
        <v>4366069</v>
      </c>
      <c r="E39" s="159" t="s">
        <v>32</v>
      </c>
      <c r="F39" s="13">
        <v>1</v>
      </c>
      <c r="G39" s="13">
        <v>1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3:32" x14ac:dyDescent="0.25">
      <c r="C40" s="90" t="s">
        <v>156</v>
      </c>
      <c r="D40" s="198" t="s">
        <v>157</v>
      </c>
      <c r="E40" s="10" t="s">
        <v>148</v>
      </c>
      <c r="F40" s="10">
        <v>0</v>
      </c>
      <c r="G40" s="10">
        <v>1</v>
      </c>
      <c r="H40" s="10"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0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3:32" x14ac:dyDescent="0.25">
      <c r="C41" s="148" t="s">
        <v>260</v>
      </c>
      <c r="D41" s="149">
        <v>6384553</v>
      </c>
      <c r="E41" s="159" t="s">
        <v>242</v>
      </c>
      <c r="F41" s="159">
        <v>0</v>
      </c>
      <c r="G41" s="159">
        <v>1</v>
      </c>
      <c r="H41">
        <v>0</v>
      </c>
      <c r="U41">
        <v>0</v>
      </c>
    </row>
    <row r="42" spans="3:32" x14ac:dyDescent="0.25">
      <c r="C42" s="151" t="s">
        <v>119</v>
      </c>
      <c r="D42" s="167">
        <v>4784733</v>
      </c>
      <c r="E42" s="159" t="s">
        <v>65</v>
      </c>
      <c r="F42" s="10">
        <v>0</v>
      </c>
      <c r="G42" s="10">
        <v>1</v>
      </c>
      <c r="H42" s="10">
        <v>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0</v>
      </c>
      <c r="V42" s="10"/>
      <c r="W42" s="10"/>
      <c r="X42" s="10"/>
      <c r="Y42" s="10"/>
      <c r="Z42" s="10"/>
      <c r="AA42" s="10"/>
      <c r="AB42" s="10"/>
      <c r="AC42" s="10"/>
      <c r="AD42" s="10"/>
      <c r="AE42" s="10">
        <v>2</v>
      </c>
    </row>
    <row r="43" spans="3:32" x14ac:dyDescent="0.25">
      <c r="C43" s="90" t="s">
        <v>154</v>
      </c>
      <c r="D43" s="198" t="s">
        <v>155</v>
      </c>
      <c r="E43" s="10" t="s">
        <v>148</v>
      </c>
      <c r="F43" s="10">
        <v>0</v>
      </c>
      <c r="G43" s="10">
        <v>1</v>
      </c>
      <c r="H43" s="10">
        <v>1</v>
      </c>
      <c r="I43" s="10"/>
      <c r="J43" s="10"/>
      <c r="K43" s="10">
        <v>1</v>
      </c>
      <c r="L43" s="10"/>
      <c r="M43" s="10">
        <v>1</v>
      </c>
      <c r="N43" s="10"/>
      <c r="O43" s="10">
        <v>1</v>
      </c>
      <c r="P43" s="10"/>
      <c r="Q43" s="10">
        <v>1</v>
      </c>
      <c r="R43" s="10"/>
      <c r="S43" s="10"/>
      <c r="T43" s="10"/>
      <c r="U43" s="10">
        <v>0</v>
      </c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>
        <v>2</v>
      </c>
      <c r="AF43" s="10"/>
    </row>
    <row r="44" spans="3:32" x14ac:dyDescent="0.25">
      <c r="C44" s="153" t="s">
        <v>226</v>
      </c>
      <c r="D44" s="154">
        <v>5431737</v>
      </c>
      <c r="E44" s="164" t="s">
        <v>171</v>
      </c>
      <c r="F44" s="159">
        <v>0</v>
      </c>
      <c r="G44" s="159">
        <v>1</v>
      </c>
      <c r="H44" s="151">
        <v>0</v>
      </c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>
        <v>0</v>
      </c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</row>
    <row r="45" spans="3:32" x14ac:dyDescent="0.25">
      <c r="C45" s="159" t="s">
        <v>190</v>
      </c>
      <c r="D45" s="149">
        <v>2250030</v>
      </c>
      <c r="E45" s="159" t="s">
        <v>171</v>
      </c>
      <c r="F45" s="159">
        <v>0</v>
      </c>
      <c r="G45" s="159">
        <v>1</v>
      </c>
      <c r="H45">
        <v>2</v>
      </c>
      <c r="M45">
        <v>2</v>
      </c>
      <c r="O45">
        <v>2</v>
      </c>
      <c r="T45" t="s">
        <v>193</v>
      </c>
      <c r="U45">
        <v>0</v>
      </c>
    </row>
    <row r="46" spans="3:32" x14ac:dyDescent="0.25">
      <c r="C46" s="148" t="s">
        <v>254</v>
      </c>
      <c r="D46" s="149">
        <v>4178252</v>
      </c>
      <c r="E46" s="159" t="s">
        <v>242</v>
      </c>
      <c r="F46" s="159">
        <v>1</v>
      </c>
      <c r="G46" s="159">
        <v>1</v>
      </c>
      <c r="H46" t="s">
        <v>172</v>
      </c>
    </row>
    <row r="47" spans="3:32" x14ac:dyDescent="0.25">
      <c r="C47" s="148" t="s">
        <v>42</v>
      </c>
      <c r="D47" s="159">
        <v>2162352</v>
      </c>
      <c r="E47" s="159" t="s">
        <v>32</v>
      </c>
      <c r="F47" s="13">
        <v>1</v>
      </c>
      <c r="G47" s="13">
        <v>1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3:32" x14ac:dyDescent="0.25">
      <c r="C48" t="s">
        <v>298</v>
      </c>
      <c r="D48" s="166">
        <v>6523086</v>
      </c>
      <c r="E48" s="149" t="s">
        <v>242</v>
      </c>
      <c r="F48" s="159">
        <v>0</v>
      </c>
      <c r="G48" s="159">
        <v>1</v>
      </c>
      <c r="H48" s="151">
        <v>0</v>
      </c>
      <c r="U48" s="151">
        <v>0</v>
      </c>
    </row>
    <row r="49" spans="3:31" x14ac:dyDescent="0.25">
      <c r="C49" s="148" t="s">
        <v>185</v>
      </c>
      <c r="D49" s="149">
        <v>2071874</v>
      </c>
      <c r="E49" s="159" t="s">
        <v>171</v>
      </c>
      <c r="F49" s="159">
        <v>1</v>
      </c>
      <c r="G49" s="159">
        <v>1</v>
      </c>
      <c r="H49" t="s">
        <v>172</v>
      </c>
    </row>
    <row r="50" spans="3:31" x14ac:dyDescent="0.25">
      <c r="C50" s="221" t="s">
        <v>87</v>
      </c>
      <c r="D50" s="167">
        <v>5334891</v>
      </c>
      <c r="E50" s="159" t="s">
        <v>65</v>
      </c>
      <c r="F50" s="10">
        <v>0</v>
      </c>
      <c r="G50" s="10">
        <v>1</v>
      </c>
      <c r="H50" s="10">
        <v>1</v>
      </c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>
        <v>0</v>
      </c>
      <c r="V50" s="10"/>
      <c r="W50" s="10"/>
      <c r="X50" s="10"/>
      <c r="Y50" s="10"/>
      <c r="Z50" s="10"/>
      <c r="AA50" s="10"/>
      <c r="AB50" s="10"/>
      <c r="AC50" s="10"/>
      <c r="AD50" s="10"/>
      <c r="AE50" s="10">
        <v>2</v>
      </c>
    </row>
    <row r="51" spans="3:31" x14ac:dyDescent="0.25">
      <c r="C51" s="153" t="s">
        <v>106</v>
      </c>
      <c r="D51" s="164">
        <v>4146544</v>
      </c>
      <c r="E51" s="159" t="s">
        <v>65</v>
      </c>
      <c r="F51" s="10">
        <v>0</v>
      </c>
      <c r="G51" s="10">
        <v>1</v>
      </c>
      <c r="H51" s="10"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>
        <v>0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3:31" x14ac:dyDescent="0.25">
      <c r="C52" s="158" t="s">
        <v>265</v>
      </c>
      <c r="D52" s="160">
        <v>2664848</v>
      </c>
      <c r="E52" s="158" t="s">
        <v>242</v>
      </c>
      <c r="F52" s="159">
        <v>0</v>
      </c>
      <c r="G52" s="159">
        <v>1</v>
      </c>
      <c r="H52">
        <v>0</v>
      </c>
      <c r="U52">
        <v>0</v>
      </c>
    </row>
    <row r="53" spans="3:31" x14ac:dyDescent="0.25">
      <c r="C53" s="151" t="s">
        <v>63</v>
      </c>
      <c r="D53" s="167">
        <v>5395575</v>
      </c>
      <c r="E53" s="159" t="s">
        <v>40</v>
      </c>
      <c r="F53" s="10">
        <v>0</v>
      </c>
      <c r="G53" s="10">
        <v>1</v>
      </c>
      <c r="H53" s="10">
        <v>1</v>
      </c>
      <c r="I53" s="10"/>
      <c r="J53" s="10"/>
      <c r="K53" s="10">
        <v>1</v>
      </c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>
        <v>0</v>
      </c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>
        <v>0</v>
      </c>
    </row>
    <row r="54" spans="3:31" x14ac:dyDescent="0.25">
      <c r="C54" s="153" t="s">
        <v>124</v>
      </c>
      <c r="D54" s="164">
        <v>4527386</v>
      </c>
      <c r="E54" s="159" t="s">
        <v>65</v>
      </c>
      <c r="F54" s="13">
        <v>1</v>
      </c>
      <c r="G54" s="13">
        <v>1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3:31" x14ac:dyDescent="0.25">
      <c r="C55" s="164" t="s">
        <v>39</v>
      </c>
      <c r="D55" s="164">
        <v>4851478</v>
      </c>
      <c r="E55" s="159" t="s">
        <v>40</v>
      </c>
      <c r="F55" s="10">
        <v>0</v>
      </c>
      <c r="G55" s="10">
        <v>1</v>
      </c>
      <c r="H55" s="10">
        <v>1</v>
      </c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 t="s">
        <v>531</v>
      </c>
      <c r="U55" s="10">
        <v>0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3:31" x14ac:dyDescent="0.25">
      <c r="C56" s="153" t="s">
        <v>105</v>
      </c>
      <c r="D56" s="164">
        <v>6600811</v>
      </c>
      <c r="E56" s="159" t="s">
        <v>65</v>
      </c>
      <c r="F56" s="10">
        <v>0</v>
      </c>
      <c r="G56" s="10">
        <v>1</v>
      </c>
      <c r="H56" s="10">
        <v>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0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3:31" x14ac:dyDescent="0.25">
      <c r="C57" s="151" t="s">
        <v>135</v>
      </c>
      <c r="D57" s="167">
        <v>1535492</v>
      </c>
      <c r="E57" s="159" t="s">
        <v>65</v>
      </c>
      <c r="F57" s="10">
        <v>0</v>
      </c>
      <c r="G57" s="10">
        <v>1</v>
      </c>
      <c r="H57" s="10">
        <v>1</v>
      </c>
      <c r="I57" s="10"/>
      <c r="J57" s="10"/>
      <c r="K57" s="10"/>
      <c r="L57" s="10">
        <v>1</v>
      </c>
      <c r="M57" s="10"/>
      <c r="N57" s="10"/>
      <c r="O57" s="10">
        <v>1</v>
      </c>
      <c r="P57" s="10"/>
      <c r="Q57" s="10">
        <v>1</v>
      </c>
      <c r="R57" s="10"/>
      <c r="S57" s="10"/>
      <c r="T57" s="10"/>
      <c r="U57" s="10">
        <v>0</v>
      </c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</row>
    <row r="58" spans="3:31" x14ac:dyDescent="0.25">
      <c r="C58" s="153" t="s">
        <v>132</v>
      </c>
      <c r="D58" s="164">
        <v>4765561</v>
      </c>
      <c r="E58" s="159" t="s">
        <v>65</v>
      </c>
      <c r="F58" s="10">
        <v>0</v>
      </c>
      <c r="G58" s="10">
        <v>1</v>
      </c>
      <c r="H58" s="10">
        <v>1</v>
      </c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>
        <v>0</v>
      </c>
      <c r="V58" s="10"/>
      <c r="W58" s="10"/>
      <c r="X58" s="10"/>
      <c r="Y58" s="10"/>
      <c r="Z58" s="10"/>
      <c r="AA58" s="10"/>
      <c r="AB58" s="10"/>
      <c r="AC58" s="10"/>
      <c r="AD58" s="10"/>
      <c r="AE58" s="10">
        <v>2</v>
      </c>
    </row>
    <row r="59" spans="3:31" x14ac:dyDescent="0.25">
      <c r="C59" s="151" t="s">
        <v>297</v>
      </c>
      <c r="D59" s="167">
        <v>872301</v>
      </c>
      <c r="E59" s="164" t="s">
        <v>242</v>
      </c>
      <c r="F59" s="164">
        <v>0</v>
      </c>
      <c r="G59" s="159">
        <v>1</v>
      </c>
      <c r="H59" s="151">
        <v>0</v>
      </c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>
        <v>0</v>
      </c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</row>
    <row r="60" spans="3:31" x14ac:dyDescent="0.25">
      <c r="C60" s="153" t="s">
        <v>136</v>
      </c>
      <c r="D60" s="164">
        <v>6430663</v>
      </c>
      <c r="E60" s="159" t="s">
        <v>65</v>
      </c>
      <c r="F60" s="10">
        <v>0</v>
      </c>
      <c r="G60" s="10">
        <v>1</v>
      </c>
      <c r="H60" s="10">
        <v>1</v>
      </c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>
        <v>0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3:31" x14ac:dyDescent="0.25">
      <c r="C61" s="184" t="s">
        <v>55</v>
      </c>
      <c r="D61" s="164">
        <v>2803028</v>
      </c>
      <c r="E61" s="159" t="s">
        <v>40</v>
      </c>
      <c r="F61" s="10">
        <v>0</v>
      </c>
      <c r="G61" s="10">
        <v>1</v>
      </c>
      <c r="H61" s="10">
        <v>1</v>
      </c>
      <c r="I61" s="10"/>
      <c r="J61" s="10"/>
      <c r="K61" s="10">
        <v>1</v>
      </c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>
        <v>1</v>
      </c>
      <c r="V61" s="10"/>
      <c r="W61" s="10"/>
      <c r="X61" s="10">
        <v>1</v>
      </c>
      <c r="Y61" s="10"/>
      <c r="Z61" s="10"/>
      <c r="AA61" s="10"/>
      <c r="AB61" s="10"/>
      <c r="AC61" s="10"/>
      <c r="AD61" s="10"/>
      <c r="AE61" s="10">
        <v>1</v>
      </c>
    </row>
    <row r="62" spans="3:31" x14ac:dyDescent="0.25">
      <c r="C62" s="150" t="s">
        <v>272</v>
      </c>
      <c r="D62" s="149">
        <v>5836728</v>
      </c>
      <c r="E62" s="178" t="s">
        <v>242</v>
      </c>
      <c r="F62" s="159">
        <v>0</v>
      </c>
      <c r="G62" s="159">
        <v>1</v>
      </c>
      <c r="H62" s="150">
        <v>0</v>
      </c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>
        <v>0</v>
      </c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</row>
    <row r="63" spans="3:31" x14ac:dyDescent="0.25">
      <c r="C63" s="185" t="s">
        <v>62</v>
      </c>
      <c r="D63" s="164">
        <v>4419787</v>
      </c>
      <c r="E63" s="159" t="s">
        <v>32</v>
      </c>
      <c r="F63" s="10">
        <v>0</v>
      </c>
      <c r="G63" s="10">
        <v>1</v>
      </c>
      <c r="H63" s="10">
        <v>1</v>
      </c>
      <c r="I63" s="10"/>
      <c r="J63" s="10"/>
      <c r="K63" s="10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>
        <v>0</v>
      </c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</row>
    <row r="64" spans="3:31" x14ac:dyDescent="0.25">
      <c r="C64" s="153" t="s">
        <v>77</v>
      </c>
      <c r="D64" s="164">
        <v>6428654</v>
      </c>
      <c r="E64" s="159" t="s">
        <v>65</v>
      </c>
      <c r="F64" s="10">
        <v>0</v>
      </c>
      <c r="G64" s="10">
        <v>1</v>
      </c>
      <c r="H64" s="10">
        <v>1</v>
      </c>
      <c r="I64" s="10"/>
      <c r="J64" s="10"/>
      <c r="K64" s="10">
        <v>1</v>
      </c>
      <c r="L64" s="10"/>
      <c r="M64" s="10">
        <v>1</v>
      </c>
      <c r="N64" s="10"/>
      <c r="O64" s="10"/>
      <c r="P64" s="10"/>
      <c r="Q64" s="10"/>
      <c r="R64" s="10"/>
      <c r="S64" s="10"/>
      <c r="T64" s="10"/>
      <c r="U64" s="10">
        <v>0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3:32" x14ac:dyDescent="0.25">
      <c r="C65" s="182" t="s">
        <v>95</v>
      </c>
      <c r="D65" s="167">
        <v>2307308</v>
      </c>
      <c r="E65" s="159" t="s">
        <v>65</v>
      </c>
      <c r="F65" s="13">
        <v>1</v>
      </c>
      <c r="G65" s="13">
        <v>1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3:32" x14ac:dyDescent="0.25">
      <c r="C66" s="151" t="s">
        <v>134</v>
      </c>
      <c r="D66" s="167">
        <v>6742386</v>
      </c>
      <c r="E66" s="159" t="s">
        <v>65</v>
      </c>
      <c r="F66" s="10">
        <v>0</v>
      </c>
      <c r="G66" s="10">
        <v>1</v>
      </c>
      <c r="H66" s="10">
        <v>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0</v>
      </c>
      <c r="V66" s="10"/>
      <c r="W66" s="10"/>
      <c r="X66" s="10"/>
      <c r="Y66" s="10"/>
      <c r="Z66" s="10"/>
      <c r="AA66" s="10"/>
      <c r="AB66" s="10"/>
      <c r="AC66" s="10"/>
      <c r="AD66" s="10">
        <v>1</v>
      </c>
      <c r="AE66" s="10"/>
    </row>
    <row r="67" spans="3:32" x14ac:dyDescent="0.25">
      <c r="C67" s="153" t="s">
        <v>100</v>
      </c>
      <c r="D67" s="164">
        <v>1022690</v>
      </c>
      <c r="E67" s="159" t="s">
        <v>65</v>
      </c>
      <c r="F67" s="10">
        <v>0</v>
      </c>
      <c r="G67" s="10">
        <v>1</v>
      </c>
      <c r="H67" s="10">
        <v>1</v>
      </c>
      <c r="I67" s="10"/>
      <c r="J67" s="10"/>
      <c r="K67" s="10"/>
      <c r="L67" s="10"/>
      <c r="M67" s="10"/>
      <c r="N67" s="10"/>
      <c r="O67" s="10">
        <v>1</v>
      </c>
      <c r="P67" s="10"/>
      <c r="Q67" s="10">
        <v>1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2</v>
      </c>
    </row>
    <row r="68" spans="3:32" x14ac:dyDescent="0.25">
      <c r="C68" s="157" t="s">
        <v>299</v>
      </c>
      <c r="D68" s="158">
        <v>3540097</v>
      </c>
      <c r="E68" s="158" t="s">
        <v>242</v>
      </c>
      <c r="F68" s="158">
        <v>0</v>
      </c>
      <c r="G68" s="159">
        <v>1</v>
      </c>
      <c r="H68" s="151">
        <v>0</v>
      </c>
      <c r="U68" s="151">
        <v>0</v>
      </c>
    </row>
    <row r="69" spans="3:32" x14ac:dyDescent="0.25">
      <c r="C69" s="151" t="s">
        <v>72</v>
      </c>
      <c r="D69" s="167">
        <v>4855890</v>
      </c>
      <c r="E69" s="159" t="s">
        <v>73</v>
      </c>
      <c r="F69" s="13">
        <v>1</v>
      </c>
      <c r="G69" s="13">
        <v>1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3:32" x14ac:dyDescent="0.25">
      <c r="C70" s="153" t="s">
        <v>296</v>
      </c>
      <c r="D70" s="164">
        <v>6502699</v>
      </c>
      <c r="E70" s="164" t="s">
        <v>242</v>
      </c>
      <c r="F70" s="159">
        <v>0</v>
      </c>
      <c r="G70" s="159">
        <v>1</v>
      </c>
      <c r="H70" s="151">
        <v>0</v>
      </c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>
        <v>0</v>
      </c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</row>
    <row r="71" spans="3:32" x14ac:dyDescent="0.25">
      <c r="C71" s="168" t="s">
        <v>270</v>
      </c>
      <c r="D71" s="169">
        <v>2447128</v>
      </c>
      <c r="E71" s="169" t="s">
        <v>242</v>
      </c>
      <c r="F71" s="159" t="s">
        <v>172</v>
      </c>
      <c r="G71" s="169">
        <v>0</v>
      </c>
      <c r="H71" t="s">
        <v>172</v>
      </c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31"/>
    </row>
    <row r="72" spans="3:32" x14ac:dyDescent="0.25">
      <c r="C72" s="165" t="s">
        <v>273</v>
      </c>
      <c r="D72" s="170">
        <v>6232438</v>
      </c>
      <c r="E72" s="159" t="s">
        <v>242</v>
      </c>
      <c r="F72" s="159">
        <v>0</v>
      </c>
      <c r="G72" s="159">
        <v>1</v>
      </c>
      <c r="H72" s="165">
        <v>0</v>
      </c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>
        <v>0</v>
      </c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</row>
    <row r="73" spans="3:32" x14ac:dyDescent="0.25">
      <c r="C73" s="153" t="s">
        <v>94</v>
      </c>
      <c r="D73" s="164">
        <v>1827901</v>
      </c>
      <c r="E73" s="159" t="s">
        <v>65</v>
      </c>
      <c r="F73" s="10">
        <v>0</v>
      </c>
      <c r="G73" s="10">
        <v>1</v>
      </c>
      <c r="H73" s="10">
        <v>1</v>
      </c>
      <c r="I73" s="10"/>
      <c r="J73" s="10"/>
      <c r="K73" s="10">
        <v>1</v>
      </c>
      <c r="L73" s="10"/>
      <c r="M73" s="10">
        <v>1</v>
      </c>
      <c r="N73" s="10"/>
      <c r="O73" s="10"/>
      <c r="P73" s="10"/>
      <c r="Q73" s="10"/>
      <c r="R73" s="10"/>
      <c r="S73" s="10"/>
      <c r="T73" s="10"/>
      <c r="U73" s="10">
        <v>0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3:32" x14ac:dyDescent="0.25">
      <c r="C74" s="92" t="s">
        <v>165</v>
      </c>
      <c r="D74" s="198" t="s">
        <v>166</v>
      </c>
      <c r="E74" s="10" t="s">
        <v>148</v>
      </c>
      <c r="F74" s="10">
        <v>0</v>
      </c>
      <c r="G74" s="10">
        <v>1</v>
      </c>
      <c r="H74" s="10">
        <v>1</v>
      </c>
      <c r="I74" s="10"/>
      <c r="J74" s="10"/>
      <c r="K74" s="10">
        <v>1</v>
      </c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>
        <v>0</v>
      </c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/>
      <c r="AF74" s="10"/>
    </row>
    <row r="75" spans="3:32" x14ac:dyDescent="0.25">
      <c r="C75" s="148" t="s">
        <v>261</v>
      </c>
      <c r="D75" s="149">
        <v>5030650</v>
      </c>
      <c r="E75" s="159" t="s">
        <v>242</v>
      </c>
      <c r="F75" s="159">
        <v>0</v>
      </c>
      <c r="G75" s="159">
        <v>1</v>
      </c>
      <c r="H75">
        <v>1</v>
      </c>
      <c r="K75">
        <v>1</v>
      </c>
      <c r="U75">
        <v>0</v>
      </c>
    </row>
    <row r="76" spans="3:32" x14ac:dyDescent="0.25">
      <c r="C76" s="153" t="s">
        <v>60</v>
      </c>
      <c r="D76" s="164">
        <v>6195907</v>
      </c>
      <c r="E76" s="159" t="s">
        <v>32</v>
      </c>
      <c r="F76" s="10">
        <v>0</v>
      </c>
      <c r="G76" s="10">
        <v>1</v>
      </c>
      <c r="H76" s="10">
        <v>1</v>
      </c>
      <c r="I76" s="10"/>
      <c r="J76" s="10"/>
      <c r="K76" s="10"/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>
        <v>1</v>
      </c>
      <c r="V76" s="10"/>
      <c r="W76" s="10"/>
      <c r="X76" s="10"/>
      <c r="Y76" s="10"/>
      <c r="Z76" s="10"/>
      <c r="AA76" s="10"/>
      <c r="AB76" s="10"/>
      <c r="AC76" s="10"/>
      <c r="AD76" s="10"/>
      <c r="AE76" s="10">
        <v>1</v>
      </c>
    </row>
    <row r="77" spans="3:32" x14ac:dyDescent="0.25">
      <c r="C77" s="148" t="s">
        <v>187</v>
      </c>
      <c r="D77" s="149">
        <v>5441069</v>
      </c>
      <c r="E77" s="159" t="s">
        <v>171</v>
      </c>
      <c r="F77" s="159">
        <v>0</v>
      </c>
      <c r="G77" s="159">
        <v>1</v>
      </c>
      <c r="H77">
        <v>0</v>
      </c>
      <c r="U77">
        <v>0</v>
      </c>
    </row>
    <row r="78" spans="3:32" x14ac:dyDescent="0.25">
      <c r="C78" s="151" t="s">
        <v>91</v>
      </c>
      <c r="D78" s="167">
        <v>5209809</v>
      </c>
      <c r="E78" s="159" t="s">
        <v>65</v>
      </c>
      <c r="F78" s="13">
        <v>1</v>
      </c>
      <c r="G78" s="13">
        <v>1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3:32" x14ac:dyDescent="0.25">
      <c r="C79" s="153" t="s">
        <v>98</v>
      </c>
      <c r="D79" s="164">
        <v>5400588</v>
      </c>
      <c r="E79" s="159" t="s">
        <v>65</v>
      </c>
      <c r="F79" s="10">
        <v>0</v>
      </c>
      <c r="G79" s="10">
        <v>1</v>
      </c>
      <c r="H79" s="10">
        <v>1</v>
      </c>
      <c r="I79" s="10"/>
      <c r="J79" s="10"/>
      <c r="K79" s="10"/>
      <c r="L79" s="10"/>
      <c r="M79" s="10"/>
      <c r="N79" s="10"/>
      <c r="O79" s="10">
        <v>1</v>
      </c>
      <c r="P79" s="10">
        <v>1</v>
      </c>
      <c r="Q79" s="10">
        <v>1</v>
      </c>
      <c r="R79" s="10"/>
      <c r="S79" s="10"/>
      <c r="T79" s="10"/>
      <c r="U79" s="10">
        <v>0</v>
      </c>
      <c r="V79" s="10"/>
      <c r="W79" s="10"/>
      <c r="X79" s="10"/>
      <c r="Y79" s="10"/>
      <c r="Z79" s="10"/>
      <c r="AA79" s="10"/>
      <c r="AB79" s="10"/>
      <c r="AC79" s="10"/>
      <c r="AD79" s="10"/>
      <c r="AE79" s="10">
        <v>2</v>
      </c>
    </row>
    <row r="80" spans="3:32" x14ac:dyDescent="0.25">
      <c r="C80" s="159" t="s">
        <v>33</v>
      </c>
      <c r="D80" s="159">
        <v>1984126</v>
      </c>
      <c r="E80" s="159" t="s">
        <v>32</v>
      </c>
      <c r="F80" s="13">
        <v>1</v>
      </c>
      <c r="G80" s="13">
        <v>1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spans="3:32" x14ac:dyDescent="0.25">
      <c r="C81" s="153" t="s">
        <v>125</v>
      </c>
      <c r="D81" s="164">
        <v>4800599</v>
      </c>
      <c r="E81" s="159" t="s">
        <v>65</v>
      </c>
      <c r="F81" s="10">
        <v>0</v>
      </c>
      <c r="G81" s="10">
        <v>1</v>
      </c>
      <c r="H81" s="10">
        <v>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0</v>
      </c>
      <c r="V81" s="10"/>
      <c r="W81" s="10"/>
      <c r="X81" s="10"/>
      <c r="Y81" s="10"/>
      <c r="Z81" s="10"/>
      <c r="AA81" s="10"/>
      <c r="AB81" s="10"/>
      <c r="AC81" s="10"/>
      <c r="AD81" s="10"/>
      <c r="AE81" s="10">
        <v>2</v>
      </c>
    </row>
    <row r="82" spans="3:32" x14ac:dyDescent="0.25">
      <c r="C82" s="151" t="s">
        <v>118</v>
      </c>
      <c r="D82" s="167">
        <v>3621453</v>
      </c>
      <c r="E82" s="159" t="s">
        <v>65</v>
      </c>
      <c r="F82" s="10">
        <v>0</v>
      </c>
      <c r="G82" s="10">
        <v>1</v>
      </c>
      <c r="H82" s="10">
        <v>2</v>
      </c>
      <c r="I82" s="10"/>
      <c r="J82" s="10"/>
      <c r="K82" s="10"/>
      <c r="L82" s="10">
        <v>1</v>
      </c>
      <c r="M82" s="10"/>
      <c r="N82" s="10"/>
      <c r="O82" s="10">
        <v>2</v>
      </c>
      <c r="P82" s="10"/>
      <c r="Q82" s="10">
        <v>1</v>
      </c>
      <c r="R82" s="10"/>
      <c r="S82" s="10"/>
      <c r="T82" s="10"/>
      <c r="U82" s="10">
        <v>0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3:32" x14ac:dyDescent="0.25">
      <c r="C83" s="153" t="s">
        <v>78</v>
      </c>
      <c r="D83" s="164">
        <v>5874563</v>
      </c>
      <c r="E83" s="159" t="s">
        <v>65</v>
      </c>
      <c r="F83" s="10">
        <v>0</v>
      </c>
      <c r="G83" s="10">
        <v>1</v>
      </c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>
        <v>1</v>
      </c>
      <c r="R83" s="10"/>
      <c r="S83" s="10"/>
      <c r="T83" s="10"/>
      <c r="U83" s="10">
        <v>0</v>
      </c>
      <c r="V83" s="10"/>
      <c r="W83" s="10"/>
      <c r="X83" s="10"/>
      <c r="Y83" s="10"/>
      <c r="Z83" s="10"/>
      <c r="AA83" s="10"/>
      <c r="AB83" s="10"/>
      <c r="AC83" s="10"/>
      <c r="AD83" s="10"/>
      <c r="AE83" s="10">
        <v>2</v>
      </c>
    </row>
    <row r="84" spans="3:32" x14ac:dyDescent="0.25">
      <c r="C84" s="153" t="s">
        <v>229</v>
      </c>
      <c r="D84" s="154">
        <v>400664</v>
      </c>
      <c r="E84" s="164" t="s">
        <v>171</v>
      </c>
      <c r="F84" s="159">
        <v>1</v>
      </c>
      <c r="G84" s="159">
        <v>1</v>
      </c>
      <c r="H84" t="s">
        <v>172</v>
      </c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</row>
    <row r="85" spans="3:32" x14ac:dyDescent="0.25">
      <c r="C85" s="153" t="s">
        <v>79</v>
      </c>
      <c r="D85" s="164">
        <v>2950188</v>
      </c>
      <c r="E85" s="159" t="s">
        <v>65</v>
      </c>
      <c r="F85" s="10">
        <v>0</v>
      </c>
      <c r="G85" s="10">
        <v>1</v>
      </c>
      <c r="H85" s="10">
        <v>1</v>
      </c>
      <c r="I85" s="10"/>
      <c r="J85" s="10"/>
      <c r="K85" s="10">
        <v>1</v>
      </c>
      <c r="L85" s="10"/>
      <c r="M85" s="10"/>
      <c r="N85" s="10"/>
      <c r="O85" s="10">
        <v>1</v>
      </c>
      <c r="P85" s="10"/>
      <c r="Q85" s="10">
        <v>1</v>
      </c>
      <c r="R85" s="10"/>
      <c r="S85" s="10"/>
      <c r="T85" s="10"/>
      <c r="U85" s="10">
        <v>0</v>
      </c>
      <c r="V85" s="10"/>
      <c r="W85" s="10"/>
      <c r="X85" s="10"/>
      <c r="Y85" s="10"/>
      <c r="Z85" s="10"/>
      <c r="AA85" s="10"/>
      <c r="AB85" s="10"/>
      <c r="AC85" s="10"/>
      <c r="AD85" s="10"/>
      <c r="AE85" s="10">
        <v>2</v>
      </c>
    </row>
    <row r="86" spans="3:32" x14ac:dyDescent="0.25">
      <c r="C86" s="153" t="s">
        <v>129</v>
      </c>
      <c r="D86" s="164">
        <v>1599183</v>
      </c>
      <c r="E86" s="159" t="s">
        <v>65</v>
      </c>
      <c r="F86" s="13">
        <v>1</v>
      </c>
      <c r="G86" s="13">
        <v>1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3:32" x14ac:dyDescent="0.25">
      <c r="C87" s="192" t="s">
        <v>144</v>
      </c>
      <c r="D87" s="201" t="s">
        <v>145</v>
      </c>
      <c r="E87" s="10" t="s">
        <v>36</v>
      </c>
      <c r="F87" s="10">
        <v>0</v>
      </c>
      <c r="G87" s="10">
        <v>1</v>
      </c>
      <c r="H87" s="10">
        <v>1</v>
      </c>
      <c r="I87" s="10"/>
      <c r="J87" s="10"/>
      <c r="K87" s="10"/>
      <c r="L87" s="10">
        <v>1</v>
      </c>
      <c r="M87" s="10"/>
      <c r="N87" s="10"/>
      <c r="O87" s="10"/>
      <c r="P87" s="10"/>
      <c r="Q87" s="10"/>
      <c r="R87" s="10"/>
      <c r="S87" s="10"/>
      <c r="T87" s="10"/>
      <c r="U87" s="10">
        <v>0</v>
      </c>
      <c r="V87" s="10"/>
      <c r="W87" s="10"/>
      <c r="X87" s="10"/>
      <c r="Y87" s="10"/>
      <c r="Z87" s="10"/>
      <c r="AA87" s="10"/>
      <c r="AB87" s="10"/>
      <c r="AC87" s="10"/>
      <c r="AD87" s="10"/>
      <c r="AE87" s="10">
        <v>1</v>
      </c>
      <c r="AF87" s="10"/>
    </row>
    <row r="88" spans="3:32" x14ac:dyDescent="0.25">
      <c r="C88" s="153" t="s">
        <v>64</v>
      </c>
      <c r="D88" s="164">
        <v>6463964</v>
      </c>
      <c r="E88" s="159" t="s">
        <v>65</v>
      </c>
      <c r="F88" s="10">
        <v>0</v>
      </c>
      <c r="G88" s="10">
        <v>1</v>
      </c>
      <c r="H88" s="10"/>
      <c r="I88" s="10"/>
      <c r="J88" s="10"/>
      <c r="K88" s="10">
        <v>1</v>
      </c>
      <c r="L88" s="10"/>
      <c r="M88" s="10"/>
      <c r="N88" s="10"/>
      <c r="O88" s="10"/>
      <c r="P88" s="10"/>
      <c r="Q88" s="10"/>
      <c r="R88" s="10"/>
      <c r="S88" s="10"/>
      <c r="T88" s="10"/>
      <c r="U88" s="10">
        <v>0</v>
      </c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>
        <v>1</v>
      </c>
    </row>
    <row r="89" spans="3:32" x14ac:dyDescent="0.25">
      <c r="C89" s="153" t="s">
        <v>97</v>
      </c>
      <c r="D89" s="164">
        <v>1650342</v>
      </c>
      <c r="E89" s="159" t="s">
        <v>65</v>
      </c>
      <c r="F89" s="10">
        <v>0</v>
      </c>
      <c r="G89" s="10">
        <v>1</v>
      </c>
      <c r="H89" s="10">
        <v>1</v>
      </c>
      <c r="I89" s="10"/>
      <c r="J89" s="10"/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/>
      <c r="U89" s="10">
        <v>0</v>
      </c>
      <c r="V89" s="10"/>
      <c r="W89" s="10"/>
      <c r="X89" s="10"/>
      <c r="Y89" s="10"/>
      <c r="Z89" s="10"/>
      <c r="AA89" s="10"/>
      <c r="AB89" s="10"/>
      <c r="AC89" s="10"/>
      <c r="AD89" s="10">
        <v>1</v>
      </c>
      <c r="AE89" s="10">
        <v>2</v>
      </c>
    </row>
    <row r="90" spans="3:32" x14ac:dyDescent="0.25">
      <c r="C90" s="153" t="s">
        <v>76</v>
      </c>
      <c r="D90" s="164">
        <v>897445</v>
      </c>
      <c r="E90" s="159" t="s">
        <v>65</v>
      </c>
      <c r="F90" s="10">
        <v>0</v>
      </c>
      <c r="G90" s="10">
        <v>1</v>
      </c>
      <c r="H90" s="10">
        <v>0</v>
      </c>
      <c r="I90" s="10"/>
      <c r="J90" s="10"/>
      <c r="K90" s="10"/>
      <c r="L90" s="10"/>
      <c r="M90" s="10"/>
      <c r="N90" s="10"/>
      <c r="O90" s="10"/>
      <c r="P90" s="10"/>
      <c r="Q90" s="10">
        <v>1</v>
      </c>
      <c r="R90" s="10"/>
      <c r="S90" s="10"/>
      <c r="T90" s="10"/>
      <c r="U90" s="10">
        <v>1</v>
      </c>
      <c r="V90" s="10"/>
      <c r="W90" s="10"/>
      <c r="X90" s="10"/>
      <c r="Y90" s="10"/>
      <c r="Z90" s="10"/>
      <c r="AA90" s="10">
        <v>1</v>
      </c>
      <c r="AB90" s="10"/>
      <c r="AC90" s="10"/>
      <c r="AD90" s="10"/>
      <c r="AE90" s="10">
        <v>1</v>
      </c>
      <c r="AF90" t="s">
        <v>534</v>
      </c>
    </row>
    <row r="91" spans="3:32" x14ac:dyDescent="0.25">
      <c r="C91" s="151" t="s">
        <v>294</v>
      </c>
      <c r="D91" s="164">
        <v>363876</v>
      </c>
      <c r="E91" s="164" t="s">
        <v>242</v>
      </c>
      <c r="F91" s="159">
        <v>0</v>
      </c>
      <c r="G91" s="159">
        <v>1</v>
      </c>
      <c r="H91" s="151">
        <v>0</v>
      </c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>
        <v>0</v>
      </c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</row>
    <row r="92" spans="3:32" x14ac:dyDescent="0.25">
      <c r="C92" s="165" t="s">
        <v>271</v>
      </c>
      <c r="D92" s="159">
        <v>107002</v>
      </c>
      <c r="E92" t="s">
        <v>242</v>
      </c>
      <c r="F92" s="159">
        <v>0</v>
      </c>
      <c r="G92" s="159">
        <v>1</v>
      </c>
      <c r="H92">
        <v>0</v>
      </c>
      <c r="U92">
        <v>0</v>
      </c>
    </row>
    <row r="93" spans="3:32" x14ac:dyDescent="0.25">
      <c r="C93" s="153" t="s">
        <v>109</v>
      </c>
      <c r="D93" s="164">
        <v>5174479</v>
      </c>
      <c r="E93" s="159" t="s">
        <v>65</v>
      </c>
      <c r="F93" s="10">
        <v>0</v>
      </c>
      <c r="G93" s="10">
        <v>1</v>
      </c>
      <c r="H93" s="10">
        <v>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>
        <v>0</v>
      </c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</row>
    <row r="94" spans="3:32" x14ac:dyDescent="0.25">
      <c r="C94" s="153" t="s">
        <v>99</v>
      </c>
      <c r="D94" s="164">
        <v>3936017</v>
      </c>
      <c r="E94" s="159" t="s">
        <v>65</v>
      </c>
      <c r="F94" s="10">
        <v>0</v>
      </c>
      <c r="G94" s="10">
        <v>1</v>
      </c>
      <c r="H94" s="10">
        <v>1</v>
      </c>
      <c r="I94" s="10"/>
      <c r="J94" s="10"/>
      <c r="K94" s="10">
        <v>1</v>
      </c>
      <c r="L94" s="10"/>
      <c r="M94" s="10"/>
      <c r="N94" s="10"/>
      <c r="O94" s="10"/>
      <c r="P94" s="10"/>
      <c r="Q94" s="10">
        <v>1</v>
      </c>
      <c r="R94" s="10"/>
      <c r="S94" s="10"/>
      <c r="T94" s="10"/>
      <c r="U94" s="10">
        <v>0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3:32" x14ac:dyDescent="0.25">
      <c r="C95" s="148" t="s">
        <v>188</v>
      </c>
      <c r="D95" s="149">
        <v>3769948</v>
      </c>
      <c r="E95" s="159" t="s">
        <v>171</v>
      </c>
      <c r="F95" s="159">
        <v>0</v>
      </c>
      <c r="G95" s="159">
        <v>1</v>
      </c>
      <c r="H95">
        <v>0</v>
      </c>
      <c r="U95">
        <v>1</v>
      </c>
      <c r="Z95">
        <v>1</v>
      </c>
    </row>
    <row r="96" spans="3:32" ht="15.75" x14ac:dyDescent="0.25">
      <c r="C96" s="172" t="s">
        <v>189</v>
      </c>
      <c r="D96" s="149">
        <v>937504</v>
      </c>
      <c r="E96" s="159" t="s">
        <v>171</v>
      </c>
      <c r="F96" s="159">
        <v>1</v>
      </c>
      <c r="G96" s="169">
        <v>1</v>
      </c>
      <c r="H96" t="s">
        <v>172</v>
      </c>
    </row>
    <row r="97" spans="3:32" x14ac:dyDescent="0.25">
      <c r="C97" s="157" t="s">
        <v>235</v>
      </c>
      <c r="D97" s="160">
        <v>3508326</v>
      </c>
      <c r="E97" s="158" t="s">
        <v>171</v>
      </c>
      <c r="F97" s="159">
        <v>0</v>
      </c>
      <c r="G97" s="159">
        <v>1</v>
      </c>
      <c r="H97" s="151">
        <v>2</v>
      </c>
      <c r="K97">
        <v>2</v>
      </c>
      <c r="L97">
        <v>2</v>
      </c>
      <c r="T97" t="s">
        <v>528</v>
      </c>
      <c r="U97" s="151">
        <v>1</v>
      </c>
      <c r="Z97">
        <v>1</v>
      </c>
    </row>
    <row r="98" spans="3:32" x14ac:dyDescent="0.25">
      <c r="C98" s="151" t="s">
        <v>93</v>
      </c>
      <c r="D98" s="167">
        <v>3654890</v>
      </c>
      <c r="E98" s="159" t="s">
        <v>65</v>
      </c>
      <c r="F98" s="10">
        <v>0</v>
      </c>
      <c r="G98" s="10">
        <v>1</v>
      </c>
      <c r="H98" s="10">
        <v>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>
        <v>0</v>
      </c>
      <c r="V98" s="10"/>
      <c r="W98" s="10"/>
      <c r="X98" s="10"/>
      <c r="Y98" s="10"/>
      <c r="Z98" s="10"/>
      <c r="AA98" s="10"/>
      <c r="AB98" s="10"/>
      <c r="AC98" s="10"/>
      <c r="AD98" s="10">
        <v>1</v>
      </c>
      <c r="AE98" s="10">
        <v>2</v>
      </c>
    </row>
    <row r="99" spans="3:32" x14ac:dyDescent="0.25">
      <c r="C99" s="153" t="s">
        <v>82</v>
      </c>
      <c r="D99" s="164">
        <v>5122359</v>
      </c>
      <c r="E99" s="159" t="s">
        <v>65</v>
      </c>
      <c r="F99" s="10">
        <v>0</v>
      </c>
      <c r="G99" s="10">
        <v>1</v>
      </c>
      <c r="H99" s="10">
        <v>0</v>
      </c>
      <c r="I99" s="10"/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/>
      <c r="U99" s="10">
        <v>0</v>
      </c>
      <c r="V99" s="10"/>
      <c r="W99" s="10"/>
      <c r="X99" s="10"/>
      <c r="Y99" s="10"/>
      <c r="Z99" s="10"/>
      <c r="AA99" s="10"/>
      <c r="AB99" s="10"/>
      <c r="AC99" s="10"/>
      <c r="AD99" s="10"/>
      <c r="AE99" s="10">
        <v>1</v>
      </c>
    </row>
    <row r="100" spans="3:32" x14ac:dyDescent="0.25">
      <c r="C100" s="153" t="s">
        <v>214</v>
      </c>
      <c r="D100" s="154">
        <v>824495</v>
      </c>
      <c r="E100" s="164" t="s">
        <v>171</v>
      </c>
      <c r="F100" s="159">
        <v>0</v>
      </c>
      <c r="G100" s="159">
        <v>1</v>
      </c>
      <c r="H100" s="151">
        <v>1</v>
      </c>
      <c r="I100" s="151"/>
      <c r="J100" s="151"/>
      <c r="K100" s="151">
        <v>1</v>
      </c>
      <c r="L100" s="151"/>
      <c r="M100" s="151">
        <v>1</v>
      </c>
      <c r="N100" s="151"/>
      <c r="O100" s="151">
        <v>1</v>
      </c>
      <c r="P100" s="151"/>
      <c r="Q100" s="151">
        <v>1</v>
      </c>
      <c r="R100" s="151"/>
      <c r="S100" s="151"/>
      <c r="T100" s="151"/>
      <c r="U100" s="151">
        <v>0</v>
      </c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</row>
    <row r="101" spans="3:32" x14ac:dyDescent="0.25">
      <c r="C101" s="150" t="s">
        <v>205</v>
      </c>
      <c r="D101" s="149">
        <v>6264080</v>
      </c>
      <c r="E101" s="150" t="s">
        <v>171</v>
      </c>
      <c r="F101" s="159">
        <v>0</v>
      </c>
      <c r="G101" s="159">
        <v>1</v>
      </c>
      <c r="H101" s="150">
        <v>1</v>
      </c>
      <c r="K101">
        <v>1</v>
      </c>
      <c r="U101">
        <v>0</v>
      </c>
    </row>
    <row r="102" spans="3:32" x14ac:dyDescent="0.25">
      <c r="C102" s="151" t="s">
        <v>131</v>
      </c>
      <c r="D102" s="167">
        <v>6756888</v>
      </c>
      <c r="E102" s="164" t="s">
        <v>65</v>
      </c>
      <c r="F102" s="10">
        <v>0</v>
      </c>
      <c r="G102" s="10">
        <v>1</v>
      </c>
      <c r="H102" s="10">
        <v>1</v>
      </c>
      <c r="I102" s="10"/>
      <c r="J102" s="10"/>
      <c r="K102" s="10"/>
      <c r="L102" s="10">
        <v>1</v>
      </c>
      <c r="M102" s="10"/>
      <c r="N102" s="10">
        <v>0</v>
      </c>
      <c r="O102" s="10"/>
      <c r="P102" s="10">
        <v>1</v>
      </c>
      <c r="Q102" s="10">
        <v>1</v>
      </c>
      <c r="R102" s="10"/>
      <c r="S102" s="10"/>
      <c r="T102" s="10"/>
      <c r="U102" s="10">
        <v>0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3:32" x14ac:dyDescent="0.25">
      <c r="C103" s="93" t="s">
        <v>169</v>
      </c>
      <c r="D103" s="200">
        <v>6229308</v>
      </c>
      <c r="E103" s="10" t="s">
        <v>141</v>
      </c>
      <c r="F103" s="10">
        <v>0</v>
      </c>
      <c r="G103" s="10">
        <v>1</v>
      </c>
      <c r="H103" s="10">
        <v>1</v>
      </c>
      <c r="I103" s="10"/>
      <c r="J103" s="10"/>
      <c r="K103" s="10">
        <v>1</v>
      </c>
      <c r="L103" s="10"/>
      <c r="M103" s="10"/>
      <c r="N103" s="10"/>
      <c r="O103" s="10">
        <v>1</v>
      </c>
      <c r="P103" s="10"/>
      <c r="Q103" s="10">
        <v>1</v>
      </c>
      <c r="R103" s="10"/>
      <c r="S103" s="10"/>
      <c r="T103" s="10" t="s">
        <v>536</v>
      </c>
      <c r="U103" s="10">
        <v>0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3:32" x14ac:dyDescent="0.25">
      <c r="C104" s="151" t="s">
        <v>284</v>
      </c>
      <c r="D104" s="152">
        <v>6523443</v>
      </c>
      <c r="E104" s="164" t="s">
        <v>242</v>
      </c>
      <c r="F104" s="159">
        <v>1</v>
      </c>
      <c r="G104" s="159">
        <v>1</v>
      </c>
      <c r="H104" t="s">
        <v>172</v>
      </c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</row>
    <row r="105" spans="3:32" x14ac:dyDescent="0.25">
      <c r="C105" s="165" t="s">
        <v>204</v>
      </c>
      <c r="D105" s="149">
        <v>3725958</v>
      </c>
      <c r="E105" s="159" t="s">
        <v>171</v>
      </c>
      <c r="F105" s="159">
        <v>0</v>
      </c>
      <c r="G105" s="159">
        <v>1</v>
      </c>
      <c r="H105" s="165">
        <v>0</v>
      </c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>
        <v>0</v>
      </c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</row>
    <row r="106" spans="3:32" x14ac:dyDescent="0.25">
      <c r="C106" s="165" t="s">
        <v>228</v>
      </c>
      <c r="D106" s="156">
        <v>5119987</v>
      </c>
      <c r="E106" s="159" t="s">
        <v>171</v>
      </c>
      <c r="F106" s="159">
        <v>0</v>
      </c>
      <c r="G106" s="159">
        <v>1</v>
      </c>
      <c r="H106" s="165">
        <v>1</v>
      </c>
      <c r="I106" s="165"/>
      <c r="J106" s="165"/>
      <c r="K106" s="165">
        <v>1</v>
      </c>
      <c r="L106" s="165"/>
      <c r="M106" s="165"/>
      <c r="N106" s="165"/>
      <c r="O106" s="165">
        <v>1</v>
      </c>
      <c r="P106" s="165"/>
      <c r="Q106" s="165"/>
      <c r="R106" s="165"/>
      <c r="S106" s="165"/>
      <c r="T106" s="165"/>
      <c r="U106" s="165">
        <v>0</v>
      </c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</row>
    <row r="107" spans="3:32" x14ac:dyDescent="0.25">
      <c r="C107" s="153" t="s">
        <v>53</v>
      </c>
      <c r="D107" s="164">
        <v>327692</v>
      </c>
      <c r="E107" s="159" t="s">
        <v>32</v>
      </c>
      <c r="F107" s="13">
        <v>1</v>
      </c>
      <c r="G107" s="13">
        <v>1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3:32" x14ac:dyDescent="0.25">
      <c r="C108" s="148" t="s">
        <v>178</v>
      </c>
      <c r="D108" s="149">
        <v>5400722</v>
      </c>
      <c r="E108" s="159" t="s">
        <v>171</v>
      </c>
      <c r="F108" s="159">
        <v>0</v>
      </c>
      <c r="G108" s="159">
        <v>1</v>
      </c>
      <c r="H108">
        <v>2</v>
      </c>
      <c r="K108">
        <v>2</v>
      </c>
      <c r="U108">
        <v>0</v>
      </c>
    </row>
    <row r="109" spans="3:32" x14ac:dyDescent="0.25">
      <c r="C109" s="148" t="s">
        <v>174</v>
      </c>
      <c r="D109" s="171">
        <v>873673</v>
      </c>
      <c r="E109" s="159" t="s">
        <v>171</v>
      </c>
      <c r="F109" s="159">
        <v>0</v>
      </c>
      <c r="G109" s="159">
        <v>1</v>
      </c>
      <c r="H109">
        <v>2</v>
      </c>
      <c r="I109">
        <v>2</v>
      </c>
      <c r="J109">
        <v>2</v>
      </c>
      <c r="K109">
        <v>2</v>
      </c>
      <c r="L109">
        <v>1</v>
      </c>
      <c r="O109">
        <v>2</v>
      </c>
      <c r="U109">
        <v>0</v>
      </c>
    </row>
    <row r="110" spans="3:32" x14ac:dyDescent="0.25">
      <c r="C110" s="151" t="s">
        <v>130</v>
      </c>
      <c r="D110" s="167">
        <v>6744097</v>
      </c>
      <c r="E110" s="159" t="s">
        <v>65</v>
      </c>
      <c r="F110" s="13">
        <v>1</v>
      </c>
      <c r="G110" s="13">
        <v>1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3:32" x14ac:dyDescent="0.25">
      <c r="C111" t="s">
        <v>282</v>
      </c>
      <c r="D111" s="163">
        <v>3711750</v>
      </c>
      <c r="E111" s="158" t="s">
        <v>242</v>
      </c>
      <c r="F111" s="159">
        <v>0</v>
      </c>
      <c r="G111" s="159">
        <v>1</v>
      </c>
      <c r="H111">
        <v>1</v>
      </c>
      <c r="K111">
        <v>1</v>
      </c>
      <c r="U111">
        <v>0</v>
      </c>
    </row>
    <row r="112" spans="3:32" x14ac:dyDescent="0.25">
      <c r="C112" s="189" t="s">
        <v>142</v>
      </c>
      <c r="D112" s="197" t="s">
        <v>143</v>
      </c>
      <c r="E112" s="10" t="s">
        <v>36</v>
      </c>
      <c r="F112" s="10">
        <v>0</v>
      </c>
      <c r="G112" s="10">
        <v>1</v>
      </c>
      <c r="H112" s="10">
        <v>1</v>
      </c>
      <c r="I112" s="10"/>
      <c r="J112" s="10"/>
      <c r="K112" s="10">
        <v>1</v>
      </c>
      <c r="L112" s="10"/>
      <c r="M112" s="10">
        <v>1</v>
      </c>
      <c r="N112" s="10"/>
      <c r="O112" s="10">
        <v>1</v>
      </c>
      <c r="P112" s="10">
        <v>1</v>
      </c>
      <c r="Q112" s="10">
        <v>1</v>
      </c>
      <c r="R112" s="10"/>
      <c r="S112" s="10"/>
      <c r="T112" s="10"/>
      <c r="U112" s="10">
        <v>0</v>
      </c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3:32" x14ac:dyDescent="0.25">
      <c r="C113" s="153" t="s">
        <v>289</v>
      </c>
      <c r="D113" s="166">
        <v>5868912</v>
      </c>
      <c r="E113" s="164" t="s">
        <v>242</v>
      </c>
      <c r="F113" s="159">
        <v>0</v>
      </c>
      <c r="G113" s="159">
        <v>1</v>
      </c>
      <c r="H113" s="151">
        <v>0</v>
      </c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>
        <v>0</v>
      </c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</row>
    <row r="114" spans="3:32" x14ac:dyDescent="0.25">
      <c r="C114" s="155" t="s">
        <v>197</v>
      </c>
      <c r="D114" s="163">
        <v>1007203</v>
      </c>
      <c r="E114" s="158" t="s">
        <v>171</v>
      </c>
      <c r="F114" s="159">
        <v>0</v>
      </c>
      <c r="G114" s="159">
        <v>1</v>
      </c>
      <c r="H114">
        <v>0</v>
      </c>
      <c r="U114">
        <v>0</v>
      </c>
    </row>
    <row r="115" spans="3:32" x14ac:dyDescent="0.25">
      <c r="C115" s="184" t="s">
        <v>54</v>
      </c>
      <c r="D115" s="164">
        <v>6551189</v>
      </c>
      <c r="E115" s="159" t="s">
        <v>32</v>
      </c>
      <c r="F115" s="10">
        <v>0</v>
      </c>
      <c r="G115" s="10">
        <v>1</v>
      </c>
      <c r="H115" s="10">
        <v>1</v>
      </c>
      <c r="I115" s="10"/>
      <c r="J115" s="10"/>
      <c r="K115" s="10"/>
      <c r="L115" s="10">
        <v>1</v>
      </c>
      <c r="M115" s="10"/>
      <c r="N115" s="10"/>
      <c r="O115" s="10"/>
      <c r="P115" s="10"/>
      <c r="Q115" s="10">
        <v>1</v>
      </c>
      <c r="R115" s="10"/>
      <c r="S115" s="10"/>
      <c r="T115" s="10"/>
      <c r="U115" s="10">
        <v>1</v>
      </c>
      <c r="V115" s="10"/>
      <c r="W115" s="10"/>
      <c r="X115" s="10">
        <v>1</v>
      </c>
      <c r="Y115" s="10"/>
      <c r="Z115" s="10"/>
      <c r="AA115" s="10"/>
      <c r="AB115" s="10"/>
      <c r="AC115" s="10"/>
      <c r="AD115" s="10"/>
      <c r="AE115" s="10">
        <v>1</v>
      </c>
      <c r="AF115" t="s">
        <v>533</v>
      </c>
    </row>
    <row r="116" spans="3:32" x14ac:dyDescent="0.25">
      <c r="C116" s="151" t="s">
        <v>133</v>
      </c>
      <c r="D116" s="167">
        <v>1220793</v>
      </c>
      <c r="E116" s="159" t="s">
        <v>65</v>
      </c>
      <c r="F116" s="10">
        <v>0</v>
      </c>
      <c r="G116" s="10">
        <v>1</v>
      </c>
      <c r="H116" s="10">
        <v>1</v>
      </c>
      <c r="I116" s="10"/>
      <c r="J116" s="10"/>
      <c r="K116" s="10">
        <v>1</v>
      </c>
      <c r="L116" s="10"/>
      <c r="M116" s="10"/>
      <c r="N116" s="10"/>
      <c r="O116" s="10">
        <v>1</v>
      </c>
      <c r="P116" s="10"/>
      <c r="Q116" s="10">
        <v>1</v>
      </c>
      <c r="R116" s="10"/>
      <c r="S116" s="10"/>
      <c r="T116" s="10"/>
      <c r="U116" s="10">
        <v>0</v>
      </c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3:32" x14ac:dyDescent="0.25">
      <c r="C117" s="157" t="s">
        <v>194</v>
      </c>
      <c r="D117" s="160">
        <v>2797309</v>
      </c>
      <c r="E117" s="159" t="s">
        <v>171</v>
      </c>
      <c r="F117" s="159">
        <v>0</v>
      </c>
      <c r="G117" s="159">
        <v>1</v>
      </c>
      <c r="H117">
        <v>0</v>
      </c>
      <c r="U117">
        <v>0</v>
      </c>
    </row>
    <row r="118" spans="3:32" x14ac:dyDescent="0.25">
      <c r="C118" s="148" t="s">
        <v>251</v>
      </c>
      <c r="D118" s="149">
        <v>6334432</v>
      </c>
      <c r="E118" s="159" t="s">
        <v>242</v>
      </c>
      <c r="F118" s="159">
        <v>0</v>
      </c>
      <c r="G118" s="159">
        <v>1</v>
      </c>
      <c r="H118">
        <v>0</v>
      </c>
      <c r="U118">
        <v>0</v>
      </c>
    </row>
    <row r="119" spans="3:32" x14ac:dyDescent="0.25">
      <c r="C119" s="151" t="s">
        <v>81</v>
      </c>
      <c r="D119" s="167">
        <v>3379916</v>
      </c>
      <c r="E119" s="159" t="s">
        <v>65</v>
      </c>
      <c r="F119" s="10">
        <v>0</v>
      </c>
      <c r="G119" s="10">
        <v>1</v>
      </c>
      <c r="H119" s="10">
        <v>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>
        <v>0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3:32" x14ac:dyDescent="0.25">
      <c r="C120" s="153" t="s">
        <v>123</v>
      </c>
      <c r="D120" s="164">
        <v>6737247</v>
      </c>
      <c r="E120" s="159" t="s">
        <v>65</v>
      </c>
      <c r="F120" s="10">
        <v>0</v>
      </c>
      <c r="G120" s="10">
        <v>1</v>
      </c>
      <c r="H120" s="10">
        <v>1</v>
      </c>
      <c r="I120" s="10"/>
      <c r="J120" s="10"/>
      <c r="K120" s="10"/>
      <c r="L120" s="10"/>
      <c r="M120" s="10"/>
      <c r="N120" s="10"/>
      <c r="O120" s="10">
        <v>1</v>
      </c>
      <c r="P120" s="10"/>
      <c r="Q120" s="10">
        <v>1</v>
      </c>
      <c r="R120" s="10"/>
      <c r="S120" s="10"/>
      <c r="T120" s="10"/>
      <c r="U120" s="10">
        <v>0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>
        <v>1</v>
      </c>
    </row>
    <row r="121" spans="3:32" x14ac:dyDescent="0.25">
      <c r="C121" s="153" t="s">
        <v>230</v>
      </c>
      <c r="D121" s="154">
        <v>2546984</v>
      </c>
      <c r="E121" s="164" t="s">
        <v>171</v>
      </c>
      <c r="F121" s="159">
        <v>0</v>
      </c>
      <c r="G121" s="159">
        <v>1</v>
      </c>
      <c r="H121" s="151">
        <v>2</v>
      </c>
      <c r="I121" s="151"/>
      <c r="J121" s="151"/>
      <c r="K121" s="151">
        <v>2</v>
      </c>
      <c r="L121" s="151">
        <v>1</v>
      </c>
      <c r="M121" s="151"/>
      <c r="N121" s="151"/>
      <c r="O121" s="151">
        <v>1</v>
      </c>
      <c r="P121" s="151"/>
      <c r="Q121" s="151"/>
      <c r="R121" s="151"/>
      <c r="S121" s="151"/>
      <c r="T121" s="151" t="s">
        <v>231</v>
      </c>
      <c r="U121" s="151">
        <v>1</v>
      </c>
      <c r="V121" s="151"/>
      <c r="W121" s="151"/>
      <c r="X121" s="151">
        <v>1</v>
      </c>
      <c r="Y121" s="151"/>
      <c r="Z121" s="151"/>
      <c r="AA121" s="151"/>
      <c r="AB121" s="151">
        <v>1</v>
      </c>
      <c r="AC121" s="151" t="s">
        <v>232</v>
      </c>
      <c r="AD121" s="151"/>
      <c r="AE121" s="151"/>
    </row>
    <row r="122" spans="3:32" x14ac:dyDescent="0.25">
      <c r="C122" s="173" t="s">
        <v>208</v>
      </c>
      <c r="D122" s="149">
        <v>4176512</v>
      </c>
      <c r="E122" t="s">
        <v>171</v>
      </c>
      <c r="F122" s="159">
        <v>0</v>
      </c>
      <c r="G122" s="159">
        <v>1</v>
      </c>
      <c r="H122">
        <v>1</v>
      </c>
      <c r="K122">
        <v>1</v>
      </c>
      <c r="U122">
        <v>0</v>
      </c>
    </row>
    <row r="123" spans="3:32" x14ac:dyDescent="0.25">
      <c r="C123" s="93" t="s">
        <v>158</v>
      </c>
      <c r="D123" s="200">
        <v>6264367</v>
      </c>
      <c r="E123" s="10" t="s">
        <v>148</v>
      </c>
      <c r="F123" s="13">
        <v>1</v>
      </c>
      <c r="G123" s="13">
        <v>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0"/>
    </row>
    <row r="124" spans="3:32" x14ac:dyDescent="0.25">
      <c r="C124" s="196" t="s">
        <v>139</v>
      </c>
      <c r="D124" s="203" t="s">
        <v>140</v>
      </c>
      <c r="E124" s="10" t="s">
        <v>141</v>
      </c>
      <c r="F124" s="13">
        <v>1</v>
      </c>
      <c r="G124" s="13">
        <v>1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0"/>
    </row>
    <row r="125" spans="3:32" x14ac:dyDescent="0.25">
      <c r="C125" s="151" t="s">
        <v>116</v>
      </c>
      <c r="D125" s="167">
        <v>1508796</v>
      </c>
      <c r="E125" s="159" t="s">
        <v>65</v>
      </c>
      <c r="F125" s="10">
        <v>0</v>
      </c>
      <c r="G125" s="10">
        <v>0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>
        <v>0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2</v>
      </c>
    </row>
    <row r="126" spans="3:32" x14ac:dyDescent="0.25">
      <c r="C126" t="s">
        <v>275</v>
      </c>
      <c r="D126" s="6">
        <v>6497371</v>
      </c>
      <c r="E126" s="158" t="s">
        <v>242</v>
      </c>
      <c r="F126" s="159">
        <v>0</v>
      </c>
      <c r="G126" s="159">
        <v>1</v>
      </c>
      <c r="H126" s="165">
        <v>0</v>
      </c>
      <c r="U126" s="165">
        <v>0</v>
      </c>
    </row>
    <row r="127" spans="3:32" x14ac:dyDescent="0.25">
      <c r="C127" s="153" t="s">
        <v>92</v>
      </c>
      <c r="D127" s="164">
        <v>6185167</v>
      </c>
      <c r="E127" s="159" t="s">
        <v>65</v>
      </c>
      <c r="F127" s="10">
        <v>0</v>
      </c>
      <c r="G127" s="10">
        <v>1</v>
      </c>
      <c r="H127" s="10">
        <v>2</v>
      </c>
      <c r="I127" s="10"/>
      <c r="J127" s="10"/>
      <c r="K127" s="10">
        <v>1</v>
      </c>
      <c r="L127" s="10">
        <v>1</v>
      </c>
      <c r="M127" s="10"/>
      <c r="N127" s="10"/>
      <c r="O127" s="10">
        <v>2</v>
      </c>
      <c r="P127" s="10"/>
      <c r="Q127" s="10"/>
      <c r="R127" s="10">
        <v>1</v>
      </c>
      <c r="S127" s="10"/>
      <c r="T127" s="10"/>
      <c r="U127" s="10">
        <v>0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2</v>
      </c>
    </row>
    <row r="128" spans="3:32" x14ac:dyDescent="0.25">
      <c r="C128" s="151" t="s">
        <v>90</v>
      </c>
      <c r="D128" s="167">
        <v>1321044</v>
      </c>
      <c r="E128" s="159" t="s">
        <v>65</v>
      </c>
      <c r="F128" s="10">
        <v>0</v>
      </c>
      <c r="G128" s="10">
        <v>1</v>
      </c>
      <c r="H128" s="10">
        <v>2</v>
      </c>
      <c r="I128" s="10"/>
      <c r="J128" s="10"/>
      <c r="K128" s="10"/>
      <c r="L128" s="10">
        <v>2</v>
      </c>
      <c r="M128" s="10"/>
      <c r="N128" s="10"/>
      <c r="O128" s="10">
        <v>1</v>
      </c>
      <c r="P128" s="10"/>
      <c r="Q128" s="10"/>
      <c r="R128" s="10"/>
      <c r="S128" s="10"/>
      <c r="T128" s="10"/>
      <c r="U128" s="10">
        <v>0</v>
      </c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2</v>
      </c>
    </row>
    <row r="129" spans="3:32" x14ac:dyDescent="0.25">
      <c r="C129" s="151" t="s">
        <v>219</v>
      </c>
      <c r="D129" s="152">
        <v>6491856</v>
      </c>
      <c r="E129" s="164" t="s">
        <v>171</v>
      </c>
      <c r="F129" s="159">
        <v>0</v>
      </c>
      <c r="G129" s="159">
        <v>1</v>
      </c>
      <c r="H129" s="151">
        <v>0</v>
      </c>
      <c r="I129" s="180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>
        <v>0</v>
      </c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</row>
    <row r="130" spans="3:32" x14ac:dyDescent="0.25">
      <c r="C130" s="148" t="s">
        <v>186</v>
      </c>
      <c r="D130" s="149">
        <v>2513243</v>
      </c>
      <c r="E130" s="159" t="s">
        <v>171</v>
      </c>
      <c r="F130" s="159">
        <v>0</v>
      </c>
      <c r="G130" s="159">
        <v>1</v>
      </c>
      <c r="H130">
        <v>0</v>
      </c>
      <c r="U130">
        <v>0</v>
      </c>
    </row>
    <row r="131" spans="3:32" x14ac:dyDescent="0.25">
      <c r="C131" s="151" t="s">
        <v>277</v>
      </c>
      <c r="D131" s="167">
        <v>4689605</v>
      </c>
      <c r="E131" s="164" t="s">
        <v>242</v>
      </c>
      <c r="F131" s="159">
        <v>0</v>
      </c>
      <c r="G131" s="159">
        <v>1</v>
      </c>
      <c r="H131" s="151">
        <v>1</v>
      </c>
      <c r="I131" s="151"/>
      <c r="J131" s="151"/>
      <c r="K131" s="151">
        <v>1</v>
      </c>
      <c r="L131" s="151"/>
      <c r="M131" s="151">
        <v>1</v>
      </c>
      <c r="N131" s="151"/>
      <c r="O131" s="151"/>
      <c r="P131" s="151"/>
      <c r="Q131" s="151"/>
      <c r="R131" s="151"/>
      <c r="S131" s="151"/>
      <c r="T131" s="151"/>
      <c r="U131" s="151">
        <v>0</v>
      </c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</row>
    <row r="132" spans="3:32" x14ac:dyDescent="0.25">
      <c r="C132" s="153" t="s">
        <v>66</v>
      </c>
      <c r="D132" s="164">
        <v>6606902</v>
      </c>
      <c r="E132" s="159" t="s">
        <v>65</v>
      </c>
      <c r="F132" s="10">
        <v>0</v>
      </c>
      <c r="G132" s="10">
        <v>1</v>
      </c>
      <c r="H132" s="10">
        <v>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0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3:32" x14ac:dyDescent="0.25">
      <c r="C133" s="92" t="s">
        <v>159</v>
      </c>
      <c r="D133" s="198" t="s">
        <v>160</v>
      </c>
      <c r="E133" s="10" t="s">
        <v>148</v>
      </c>
      <c r="F133" s="10">
        <v>0</v>
      </c>
      <c r="G133" s="10">
        <v>1</v>
      </c>
      <c r="H133" s="10">
        <v>1</v>
      </c>
      <c r="I133" s="10"/>
      <c r="J133" s="10"/>
      <c r="K133" s="10">
        <v>1</v>
      </c>
      <c r="L133" s="10"/>
      <c r="M133" s="10"/>
      <c r="N133" s="10"/>
      <c r="O133" s="10">
        <v>1</v>
      </c>
      <c r="P133" s="10"/>
      <c r="Q133" s="10"/>
      <c r="R133" s="10"/>
      <c r="S133" s="10"/>
      <c r="T133" s="10"/>
      <c r="U133" s="10">
        <v>0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3:32" x14ac:dyDescent="0.25">
      <c r="C134" s="153" t="s">
        <v>110</v>
      </c>
      <c r="D134" s="164">
        <v>5877147</v>
      </c>
      <c r="E134" s="159" t="s">
        <v>65</v>
      </c>
      <c r="F134" s="13">
        <v>1</v>
      </c>
      <c r="G134" s="13">
        <v>1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spans="3:32" x14ac:dyDescent="0.25">
      <c r="C135" s="153" t="s">
        <v>113</v>
      </c>
      <c r="D135" s="164">
        <v>4080425</v>
      </c>
      <c r="E135" s="159" t="s">
        <v>65</v>
      </c>
      <c r="F135" s="10">
        <v>0</v>
      </c>
      <c r="G135" s="10">
        <v>1</v>
      </c>
      <c r="H135" s="10">
        <v>1</v>
      </c>
      <c r="I135" s="10"/>
      <c r="J135" s="10"/>
      <c r="K135" s="10">
        <v>1</v>
      </c>
      <c r="L135" s="10"/>
      <c r="M135" s="10"/>
      <c r="N135" s="10"/>
      <c r="O135" s="10">
        <v>1</v>
      </c>
      <c r="P135" s="10"/>
      <c r="Q135" s="10"/>
      <c r="R135" s="10"/>
      <c r="S135" s="10"/>
      <c r="T135" s="10"/>
      <c r="U135" s="10">
        <v>0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3:32" x14ac:dyDescent="0.25">
      <c r="C136" s="151" t="s">
        <v>122</v>
      </c>
      <c r="D136" s="167">
        <v>2223185</v>
      </c>
      <c r="E136" s="159" t="s">
        <v>65</v>
      </c>
      <c r="F136" s="13">
        <v>1</v>
      </c>
      <c r="G136" s="13">
        <v>1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3:32" x14ac:dyDescent="0.25">
      <c r="C137" s="153" t="s">
        <v>114</v>
      </c>
      <c r="D137" s="164">
        <v>6722604</v>
      </c>
      <c r="E137" s="159" t="s">
        <v>65</v>
      </c>
      <c r="F137" s="10">
        <v>0</v>
      </c>
      <c r="G137" s="10">
        <v>1</v>
      </c>
      <c r="H137" s="10">
        <v>2</v>
      </c>
      <c r="I137" s="10"/>
      <c r="J137" s="10"/>
      <c r="K137" s="10">
        <v>2</v>
      </c>
      <c r="L137" s="10"/>
      <c r="M137" s="10"/>
      <c r="N137" s="10">
        <v>0</v>
      </c>
      <c r="O137" s="10"/>
      <c r="P137" s="10"/>
      <c r="Q137" s="10"/>
      <c r="R137" s="10">
        <v>1</v>
      </c>
      <c r="S137" s="10"/>
      <c r="T137" s="10"/>
      <c r="U137" s="10">
        <v>0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2</v>
      </c>
    </row>
    <row r="138" spans="3:32" x14ac:dyDescent="0.25">
      <c r="C138" s="148" t="s">
        <v>245</v>
      </c>
      <c r="D138" s="149">
        <v>5522060</v>
      </c>
      <c r="E138" s="159" t="s">
        <v>242</v>
      </c>
      <c r="F138" s="159">
        <v>0</v>
      </c>
      <c r="G138" s="159">
        <v>1</v>
      </c>
      <c r="H138" s="159">
        <v>2</v>
      </c>
      <c r="I138">
        <v>2</v>
      </c>
      <c r="J138">
        <v>2</v>
      </c>
      <c r="K138">
        <v>2</v>
      </c>
      <c r="M138">
        <v>2</v>
      </c>
      <c r="O138">
        <v>2</v>
      </c>
      <c r="P138">
        <v>2</v>
      </c>
      <c r="T138" t="s">
        <v>529</v>
      </c>
      <c r="U138">
        <v>0</v>
      </c>
    </row>
    <row r="139" spans="3:32" x14ac:dyDescent="0.25">
      <c r="C139" s="174" t="s">
        <v>268</v>
      </c>
      <c r="D139" s="158">
        <v>5338778</v>
      </c>
      <c r="E139" s="158" t="s">
        <v>242</v>
      </c>
      <c r="F139" s="159">
        <v>0</v>
      </c>
      <c r="G139" s="159">
        <v>1</v>
      </c>
      <c r="H139">
        <v>0</v>
      </c>
      <c r="U139">
        <v>0</v>
      </c>
    </row>
    <row r="140" spans="3:32" x14ac:dyDescent="0.25">
      <c r="C140" t="s">
        <v>238</v>
      </c>
      <c r="D140" s="152">
        <v>2606163</v>
      </c>
      <c r="E140" s="158" t="s">
        <v>171</v>
      </c>
      <c r="F140" s="159">
        <v>0</v>
      </c>
      <c r="G140" s="159">
        <v>1</v>
      </c>
      <c r="H140">
        <v>0</v>
      </c>
      <c r="U140" s="151">
        <v>0</v>
      </c>
    </row>
    <row r="141" spans="3:32" x14ac:dyDescent="0.25">
      <c r="C141" s="153" t="s">
        <v>61</v>
      </c>
      <c r="D141" s="164">
        <v>3350992</v>
      </c>
      <c r="E141" s="159" t="s">
        <v>32</v>
      </c>
      <c r="F141" s="10">
        <v>0</v>
      </c>
      <c r="G141" s="10">
        <v>1</v>
      </c>
      <c r="H141" s="10">
        <v>2</v>
      </c>
      <c r="I141" s="10"/>
      <c r="J141" s="10"/>
      <c r="K141" s="10">
        <v>2</v>
      </c>
      <c r="L141" s="10">
        <v>1</v>
      </c>
      <c r="M141" s="10">
        <v>1</v>
      </c>
      <c r="N141" s="10"/>
      <c r="O141" s="10"/>
      <c r="P141" s="10"/>
      <c r="Q141" s="10"/>
      <c r="R141" s="10">
        <v>2</v>
      </c>
      <c r="S141" s="10"/>
      <c r="T141" s="10"/>
      <c r="U141" s="10">
        <v>0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</row>
    <row r="142" spans="3:32" x14ac:dyDescent="0.25">
      <c r="C142" s="157" t="s">
        <v>286</v>
      </c>
      <c r="D142" s="158">
        <v>2202418</v>
      </c>
      <c r="E142" s="158" t="s">
        <v>242</v>
      </c>
      <c r="F142" s="159">
        <v>0</v>
      </c>
      <c r="G142" s="159">
        <v>1</v>
      </c>
      <c r="H142">
        <v>0</v>
      </c>
      <c r="U142">
        <v>0</v>
      </c>
    </row>
    <row r="143" spans="3:32" x14ac:dyDescent="0.25">
      <c r="C143" s="151" t="s">
        <v>112</v>
      </c>
      <c r="D143" s="164">
        <v>957141</v>
      </c>
      <c r="E143" s="159" t="s">
        <v>65</v>
      </c>
      <c r="F143" s="10">
        <v>0</v>
      </c>
      <c r="G143" s="10">
        <v>1</v>
      </c>
      <c r="H143" s="10">
        <v>2</v>
      </c>
      <c r="I143" s="10"/>
      <c r="J143" s="10"/>
      <c r="K143" s="10">
        <v>2</v>
      </c>
      <c r="L143" s="10"/>
      <c r="M143" s="10"/>
      <c r="N143" s="10"/>
      <c r="O143" s="10">
        <v>1</v>
      </c>
      <c r="P143" s="10"/>
      <c r="Q143" s="10">
        <v>1</v>
      </c>
      <c r="R143" s="10"/>
      <c r="S143" s="10"/>
      <c r="T143" s="10" t="s">
        <v>535</v>
      </c>
      <c r="U143" s="10">
        <v>0</v>
      </c>
      <c r="V143" s="10"/>
      <c r="W143" s="10">
        <v>1</v>
      </c>
      <c r="X143" s="10"/>
      <c r="Y143" s="10"/>
      <c r="Z143" s="10"/>
      <c r="AA143" s="10"/>
      <c r="AB143" s="10"/>
      <c r="AC143" s="10"/>
      <c r="AD143" s="10"/>
      <c r="AE143" s="10">
        <v>2</v>
      </c>
    </row>
    <row r="144" spans="3:32" x14ac:dyDescent="0.25">
      <c r="C144" s="151" t="s">
        <v>285</v>
      </c>
      <c r="D144" s="152">
        <v>6430250</v>
      </c>
      <c r="E144" s="164" t="s">
        <v>242</v>
      </c>
      <c r="F144" s="159">
        <v>0</v>
      </c>
      <c r="G144" s="159">
        <v>1</v>
      </c>
      <c r="H144" s="151">
        <v>0</v>
      </c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>
        <v>0</v>
      </c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</row>
    <row r="145" spans="3:31" x14ac:dyDescent="0.25">
      <c r="C145" s="151" t="s">
        <v>292</v>
      </c>
      <c r="D145" s="175">
        <v>1317813</v>
      </c>
      <c r="E145" s="164" t="s">
        <v>242</v>
      </c>
      <c r="F145" s="164">
        <v>0</v>
      </c>
      <c r="G145" s="159">
        <v>1</v>
      </c>
      <c r="H145" s="151">
        <v>0</v>
      </c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>
        <v>0</v>
      </c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</row>
    <row r="146" spans="3:31" x14ac:dyDescent="0.25">
      <c r="C146" t="s">
        <v>274</v>
      </c>
      <c r="D146" s="6">
        <v>3446956</v>
      </c>
      <c r="E146" s="158" t="s">
        <v>242</v>
      </c>
      <c r="F146" s="159">
        <v>0</v>
      </c>
      <c r="G146" s="159">
        <v>1</v>
      </c>
      <c r="H146" s="165">
        <v>0</v>
      </c>
      <c r="U146" s="165">
        <v>0</v>
      </c>
    </row>
    <row r="147" spans="3:31" x14ac:dyDescent="0.25">
      <c r="C147" s="165" t="s">
        <v>276</v>
      </c>
      <c r="D147" s="170">
        <v>1819735</v>
      </c>
      <c r="E147" s="159" t="s">
        <v>242</v>
      </c>
      <c r="F147" s="159">
        <v>1</v>
      </c>
      <c r="G147" s="159">
        <v>1</v>
      </c>
      <c r="H147" t="s">
        <v>172</v>
      </c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</row>
    <row r="148" spans="3:31" x14ac:dyDescent="0.25">
      <c r="C148" s="151" t="s">
        <v>80</v>
      </c>
      <c r="D148" s="167">
        <v>6535928</v>
      </c>
      <c r="E148" s="159" t="s">
        <v>65</v>
      </c>
      <c r="F148" s="10">
        <v>0</v>
      </c>
      <c r="G148" s="10">
        <v>1</v>
      </c>
      <c r="H148" s="10">
        <v>1</v>
      </c>
      <c r="I148" s="10"/>
      <c r="J148" s="10"/>
      <c r="K148" s="10">
        <v>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>
        <v>0</v>
      </c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3:31" x14ac:dyDescent="0.25">
      <c r="C149" s="153" t="s">
        <v>279</v>
      </c>
      <c r="D149" s="164">
        <v>568973</v>
      </c>
      <c r="E149" s="164" t="s">
        <v>242</v>
      </c>
      <c r="F149" s="159">
        <v>0</v>
      </c>
      <c r="G149" s="159">
        <v>1</v>
      </c>
      <c r="H149" s="151">
        <v>2</v>
      </c>
      <c r="I149" s="151"/>
      <c r="J149" s="151"/>
      <c r="K149" s="151">
        <v>2</v>
      </c>
      <c r="L149" s="151"/>
      <c r="M149" s="151"/>
      <c r="N149" s="151"/>
      <c r="O149" s="151">
        <v>1</v>
      </c>
      <c r="P149" s="151"/>
      <c r="Q149" s="151"/>
      <c r="R149" s="151"/>
      <c r="S149" s="151"/>
      <c r="T149" s="151"/>
      <c r="U149" s="151">
        <v>0</v>
      </c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</row>
    <row r="150" spans="3:31" x14ac:dyDescent="0.25">
      <c r="C150" s="153" t="s">
        <v>241</v>
      </c>
      <c r="D150" s="154">
        <v>4184793</v>
      </c>
      <c r="E150" s="164" t="s">
        <v>171</v>
      </c>
      <c r="F150" s="159">
        <v>0</v>
      </c>
      <c r="G150" s="164">
        <v>1</v>
      </c>
      <c r="H150" s="151">
        <v>1</v>
      </c>
      <c r="I150" s="151"/>
      <c r="J150" s="151"/>
      <c r="K150" s="151" t="s">
        <v>243</v>
      </c>
      <c r="L150" s="151"/>
      <c r="M150" s="151"/>
      <c r="N150" s="151"/>
      <c r="O150" s="151"/>
      <c r="P150" s="151"/>
      <c r="Q150" s="151"/>
      <c r="R150" s="151"/>
      <c r="S150" s="151"/>
      <c r="T150" s="151"/>
      <c r="U150" s="151">
        <v>0</v>
      </c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</row>
    <row r="151" spans="3:31" x14ac:dyDescent="0.25">
      <c r="C151" s="165" t="s">
        <v>281</v>
      </c>
      <c r="D151" s="156">
        <v>5322599</v>
      </c>
      <c r="E151" s="159" t="s">
        <v>242</v>
      </c>
      <c r="F151" s="159">
        <v>0</v>
      </c>
      <c r="G151" s="159">
        <v>1</v>
      </c>
      <c r="H151" s="165">
        <v>1</v>
      </c>
      <c r="I151" s="165"/>
      <c r="J151" s="165"/>
      <c r="K151" s="165">
        <v>1</v>
      </c>
      <c r="L151" s="165"/>
      <c r="M151" s="165"/>
      <c r="N151" s="165"/>
      <c r="O151" s="165">
        <v>1</v>
      </c>
      <c r="P151" s="165"/>
      <c r="Q151" s="165"/>
      <c r="R151" s="165"/>
      <c r="S151" s="165"/>
      <c r="T151" s="165"/>
      <c r="U151" s="165">
        <v>1</v>
      </c>
      <c r="V151" s="165"/>
      <c r="W151" s="165"/>
      <c r="X151" s="165">
        <v>1</v>
      </c>
      <c r="Y151" s="165"/>
      <c r="Z151" s="165"/>
      <c r="AA151" s="165"/>
      <c r="AB151" s="165"/>
      <c r="AC151" s="165"/>
      <c r="AD151" s="165"/>
      <c r="AE151" s="165"/>
    </row>
    <row r="152" spans="3:31" x14ac:dyDescent="0.25">
      <c r="C152" s="151" t="s">
        <v>85</v>
      </c>
      <c r="D152" s="167">
        <v>3501315</v>
      </c>
      <c r="E152" s="164" t="s">
        <v>65</v>
      </c>
      <c r="F152" s="10">
        <v>0</v>
      </c>
      <c r="G152" s="10">
        <v>1</v>
      </c>
      <c r="H152" s="10">
        <v>0</v>
      </c>
      <c r="I152" s="10"/>
      <c r="J152" s="10"/>
      <c r="K152" s="10"/>
      <c r="L152" s="10"/>
      <c r="M152" s="10"/>
      <c r="N152" s="10"/>
      <c r="O152" s="10"/>
      <c r="P152" s="10"/>
      <c r="Q152" s="10">
        <v>1</v>
      </c>
      <c r="R152" s="10"/>
      <c r="S152" s="10"/>
      <c r="T152" s="10"/>
      <c r="U152" s="10">
        <v>0</v>
      </c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2</v>
      </c>
    </row>
    <row r="153" spans="3:31" x14ac:dyDescent="0.25">
      <c r="C153" s="153" t="s">
        <v>107</v>
      </c>
      <c r="D153" s="164">
        <v>3501458</v>
      </c>
      <c r="E153" s="159" t="s">
        <v>65</v>
      </c>
      <c r="F153" s="10">
        <v>0</v>
      </c>
      <c r="G153" s="10">
        <v>1</v>
      </c>
      <c r="H153" s="10">
        <v>1</v>
      </c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>
        <v>0</v>
      </c>
      <c r="V153" s="10"/>
      <c r="W153" s="10"/>
      <c r="X153" s="10"/>
      <c r="Y153" s="10"/>
      <c r="Z153" s="10"/>
      <c r="AA153" s="10"/>
      <c r="AB153" s="10"/>
      <c r="AC153" s="10"/>
      <c r="AD153" s="10"/>
      <c r="AE153" s="10">
        <v>2</v>
      </c>
    </row>
    <row r="154" spans="3:31" x14ac:dyDescent="0.25">
      <c r="C154" s="153" t="s">
        <v>71</v>
      </c>
      <c r="D154" s="164">
        <v>6559599</v>
      </c>
      <c r="E154" s="159" t="s">
        <v>65</v>
      </c>
      <c r="F154" s="10">
        <v>0</v>
      </c>
      <c r="G154" s="10">
        <v>1</v>
      </c>
      <c r="H154" s="10">
        <v>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>
        <v>0</v>
      </c>
      <c r="V154" s="10"/>
      <c r="W154" s="10"/>
      <c r="X154" s="10"/>
      <c r="Y154" s="10"/>
      <c r="Z154" s="10"/>
      <c r="AA154" s="10"/>
      <c r="AB154" s="10"/>
      <c r="AC154" s="10"/>
      <c r="AD154" s="10"/>
      <c r="AE154" s="10">
        <v>2</v>
      </c>
    </row>
    <row r="155" spans="3:31" x14ac:dyDescent="0.25">
      <c r="C155" s="153" t="s">
        <v>126</v>
      </c>
      <c r="D155" s="164">
        <v>6324630</v>
      </c>
      <c r="E155" s="164" t="s">
        <v>65</v>
      </c>
      <c r="F155" s="13">
        <v>1</v>
      </c>
      <c r="G155" s="13">
        <v>1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spans="3:31" x14ac:dyDescent="0.25">
      <c r="C156" t="s">
        <v>237</v>
      </c>
      <c r="D156" s="163">
        <v>3567123</v>
      </c>
      <c r="E156" s="158" t="s">
        <v>171</v>
      </c>
      <c r="F156" s="159">
        <v>0</v>
      </c>
      <c r="G156" s="159">
        <v>1</v>
      </c>
      <c r="H156">
        <v>0</v>
      </c>
      <c r="U156">
        <v>0</v>
      </c>
    </row>
    <row r="157" spans="3:31" x14ac:dyDescent="0.25">
      <c r="C157" s="151" t="s">
        <v>295</v>
      </c>
      <c r="D157" s="152">
        <v>5615152</v>
      </c>
      <c r="E157" s="164" t="s">
        <v>242</v>
      </c>
      <c r="F157" s="159">
        <v>0</v>
      </c>
      <c r="G157" s="159">
        <v>1</v>
      </c>
      <c r="H157" s="151">
        <v>0</v>
      </c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>
        <v>0</v>
      </c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</row>
    <row r="158" spans="3:31" x14ac:dyDescent="0.25">
      <c r="C158" s="159" t="s">
        <v>35</v>
      </c>
      <c r="D158" s="159">
        <v>2461167</v>
      </c>
      <c r="E158" s="159" t="s">
        <v>36</v>
      </c>
      <c r="F158" s="13">
        <v>1</v>
      </c>
      <c r="G158" s="13">
        <v>1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spans="3:31" x14ac:dyDescent="0.25">
      <c r="C159" s="153" t="s">
        <v>70</v>
      </c>
      <c r="D159" s="164">
        <v>4640520</v>
      </c>
      <c r="E159" s="159" t="s">
        <v>49</v>
      </c>
      <c r="F159" s="13">
        <v>1</v>
      </c>
      <c r="G159" s="13">
        <v>1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spans="3:31" x14ac:dyDescent="0.25">
      <c r="C160" s="153" t="s">
        <v>74</v>
      </c>
      <c r="D160" s="164">
        <v>5371431</v>
      </c>
      <c r="E160" s="159" t="s">
        <v>65</v>
      </c>
      <c r="F160" s="10">
        <v>0</v>
      </c>
      <c r="G160" s="10">
        <v>1</v>
      </c>
      <c r="H160" s="10">
        <v>1</v>
      </c>
      <c r="I160" s="10"/>
      <c r="J160" s="10"/>
      <c r="K160" s="10"/>
      <c r="L160" s="10"/>
      <c r="M160" s="10"/>
      <c r="N160" s="10"/>
      <c r="O160" s="10">
        <v>1</v>
      </c>
      <c r="P160" s="10"/>
      <c r="Q160" s="10">
        <v>1</v>
      </c>
      <c r="R160" s="10"/>
      <c r="S160" s="10"/>
      <c r="T160" s="10"/>
      <c r="U160" s="10">
        <v>0</v>
      </c>
      <c r="V160" s="10"/>
      <c r="W160" s="10"/>
      <c r="X160" s="10"/>
      <c r="Y160" s="10"/>
      <c r="Z160" s="10"/>
      <c r="AA160" s="10"/>
      <c r="AB160" s="10"/>
      <c r="AC160" s="10"/>
      <c r="AD160" s="10">
        <v>1</v>
      </c>
      <c r="AE160" s="10"/>
    </row>
    <row r="161" spans="3:32" x14ac:dyDescent="0.25">
      <c r="C161" s="159" t="s">
        <v>41</v>
      </c>
      <c r="D161" s="159">
        <v>6378361</v>
      </c>
      <c r="E161" s="159" t="s">
        <v>32</v>
      </c>
      <c r="F161" s="10">
        <v>0</v>
      </c>
      <c r="G161" s="10">
        <v>1</v>
      </c>
      <c r="H161" s="10">
        <v>1</v>
      </c>
      <c r="I161" s="10"/>
      <c r="J161" s="10"/>
      <c r="K161" s="10">
        <v>1</v>
      </c>
      <c r="L161" s="10">
        <v>1</v>
      </c>
      <c r="M161" s="10"/>
      <c r="N161" s="10"/>
      <c r="O161" s="10">
        <v>1</v>
      </c>
      <c r="P161" s="10"/>
      <c r="Q161" s="10">
        <v>1</v>
      </c>
      <c r="R161" s="10"/>
      <c r="S161" s="10"/>
      <c r="T161" s="10"/>
      <c r="U161" s="10">
        <v>0</v>
      </c>
      <c r="V161" s="10"/>
      <c r="W161" s="10"/>
      <c r="X161" s="10"/>
      <c r="Y161" s="10"/>
      <c r="Z161" s="10"/>
      <c r="AA161" s="10"/>
      <c r="AB161" s="10"/>
      <c r="AC161" s="10"/>
      <c r="AD161" s="10">
        <v>1</v>
      </c>
      <c r="AE161" s="10">
        <v>2</v>
      </c>
    </row>
    <row r="162" spans="3:32" x14ac:dyDescent="0.25">
      <c r="C162" s="157" t="s">
        <v>239</v>
      </c>
      <c r="D162" s="160">
        <v>2045165</v>
      </c>
      <c r="E162" s="158" t="s">
        <v>171</v>
      </c>
      <c r="F162" s="159">
        <v>0</v>
      </c>
      <c r="G162" s="159">
        <v>1</v>
      </c>
      <c r="H162" s="151">
        <v>0</v>
      </c>
      <c r="U162">
        <v>0</v>
      </c>
    </row>
    <row r="163" spans="3:32" x14ac:dyDescent="0.25">
      <c r="C163" s="186" t="s">
        <v>43</v>
      </c>
      <c r="D163" s="186">
        <v>6007874</v>
      </c>
      <c r="E163" s="169" t="s">
        <v>32</v>
      </c>
      <c r="F163" s="13">
        <v>1</v>
      </c>
      <c r="G163" s="13">
        <v>1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spans="3:32" x14ac:dyDescent="0.25">
      <c r="C164" s="153" t="s">
        <v>101</v>
      </c>
      <c r="D164" s="164">
        <v>1248363</v>
      </c>
      <c r="E164" s="159" t="s">
        <v>65</v>
      </c>
      <c r="F164" s="10">
        <v>0</v>
      </c>
      <c r="G164" s="10">
        <v>1</v>
      </c>
      <c r="H164" s="10">
        <v>2</v>
      </c>
      <c r="I164" s="10"/>
      <c r="J164" s="10"/>
      <c r="K164" s="10">
        <v>2</v>
      </c>
      <c r="L164" s="10"/>
      <c r="M164" s="10"/>
      <c r="N164" s="10"/>
      <c r="O164" s="10">
        <v>1</v>
      </c>
      <c r="P164" s="10"/>
      <c r="Q164" s="10"/>
      <c r="R164" s="10">
        <v>1</v>
      </c>
      <c r="S164" s="10"/>
      <c r="T164" s="10"/>
      <c r="U164" s="10">
        <v>0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2</v>
      </c>
    </row>
    <row r="165" spans="3:32" x14ac:dyDescent="0.25">
      <c r="C165" s="151" t="s">
        <v>288</v>
      </c>
      <c r="D165" s="152">
        <v>6259132</v>
      </c>
      <c r="E165" s="164" t="s">
        <v>242</v>
      </c>
      <c r="F165" s="159">
        <v>0</v>
      </c>
      <c r="G165" s="159">
        <v>1</v>
      </c>
      <c r="H165" s="151">
        <v>0</v>
      </c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>
        <v>0</v>
      </c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</row>
    <row r="166" spans="3:32" x14ac:dyDescent="0.25">
      <c r="C166" s="157" t="s">
        <v>180</v>
      </c>
      <c r="D166" s="160">
        <v>3608742</v>
      </c>
      <c r="E166" s="158" t="s">
        <v>171</v>
      </c>
      <c r="F166" s="159">
        <v>0</v>
      </c>
      <c r="G166" s="159">
        <v>1</v>
      </c>
      <c r="H166">
        <v>2</v>
      </c>
      <c r="K166">
        <v>2</v>
      </c>
      <c r="O166">
        <v>2</v>
      </c>
      <c r="U166">
        <v>1</v>
      </c>
      <c r="X166">
        <v>1</v>
      </c>
      <c r="Z166">
        <v>1</v>
      </c>
    </row>
    <row r="167" spans="3:32" x14ac:dyDescent="0.25">
      <c r="C167" s="153" t="s">
        <v>283</v>
      </c>
      <c r="D167" s="164">
        <v>1978750</v>
      </c>
      <c r="E167" s="164" t="s">
        <v>242</v>
      </c>
      <c r="F167" s="159">
        <v>0</v>
      </c>
      <c r="G167" s="159">
        <v>1</v>
      </c>
      <c r="H167" s="151">
        <v>1</v>
      </c>
      <c r="I167" s="151"/>
      <c r="J167" s="151"/>
      <c r="K167" s="151">
        <v>1</v>
      </c>
      <c r="L167" s="151"/>
      <c r="M167" s="151">
        <v>1</v>
      </c>
      <c r="N167" s="151"/>
      <c r="O167" s="151"/>
      <c r="P167" s="151"/>
      <c r="Q167" s="151"/>
      <c r="R167" s="151"/>
      <c r="S167" s="151"/>
      <c r="T167" s="151"/>
      <c r="U167" s="151">
        <v>0</v>
      </c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</row>
    <row r="168" spans="3:32" x14ac:dyDescent="0.25">
      <c r="C168" s="153" t="s">
        <v>108</v>
      </c>
      <c r="D168" s="164">
        <v>4886388</v>
      </c>
      <c r="E168" s="159" t="s">
        <v>65</v>
      </c>
      <c r="F168" s="10">
        <v>0</v>
      </c>
      <c r="G168" s="10">
        <v>1</v>
      </c>
      <c r="H168" s="10">
        <v>1</v>
      </c>
      <c r="I168" s="10"/>
      <c r="J168" s="10"/>
      <c r="K168" s="10">
        <v>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/>
      <c r="W168" s="10"/>
      <c r="X168" s="10"/>
      <c r="Y168" s="10"/>
      <c r="Z168" s="10"/>
      <c r="AA168" s="10">
        <v>1</v>
      </c>
      <c r="AB168" s="10"/>
      <c r="AC168" s="10"/>
      <c r="AD168" s="10"/>
      <c r="AE168" s="10">
        <v>2</v>
      </c>
    </row>
    <row r="169" spans="3:32" x14ac:dyDescent="0.25">
      <c r="C169" s="92" t="s">
        <v>161</v>
      </c>
      <c r="D169" s="198" t="s">
        <v>162</v>
      </c>
      <c r="E169" s="10" t="s">
        <v>148</v>
      </c>
      <c r="F169" s="10">
        <v>1</v>
      </c>
      <c r="G169" s="10">
        <v>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3:32" x14ac:dyDescent="0.25">
      <c r="C170" s="148" t="s">
        <v>256</v>
      </c>
      <c r="D170" s="149">
        <v>1258937</v>
      </c>
      <c r="E170" s="159" t="s">
        <v>242</v>
      </c>
      <c r="F170" s="159">
        <v>1</v>
      </c>
      <c r="G170" s="159">
        <v>1</v>
      </c>
      <c r="H170" t="s">
        <v>172</v>
      </c>
    </row>
    <row r="171" spans="3:32" x14ac:dyDescent="0.25">
      <c r="C171" s="151" t="s">
        <v>121</v>
      </c>
      <c r="D171" s="167">
        <v>6731240</v>
      </c>
      <c r="E171" s="159" t="s">
        <v>65</v>
      </c>
      <c r="F171" s="13">
        <v>1</v>
      </c>
      <c r="G171" s="13">
        <v>1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spans="3:32" x14ac:dyDescent="0.25">
      <c r="C172" s="165" t="s">
        <v>48</v>
      </c>
      <c r="D172" s="170">
        <v>6517497</v>
      </c>
      <c r="E172" s="159" t="s">
        <v>49</v>
      </c>
      <c r="F172" s="10">
        <v>0</v>
      </c>
      <c r="G172" s="10">
        <v>1</v>
      </c>
      <c r="H172" s="10">
        <v>1</v>
      </c>
      <c r="I172" s="10"/>
      <c r="J172" s="10"/>
      <c r="K172" s="10">
        <v>1</v>
      </c>
      <c r="L172" s="10">
        <v>1</v>
      </c>
      <c r="M172" s="10"/>
      <c r="N172" s="10">
        <v>0</v>
      </c>
      <c r="O172" s="10">
        <v>1</v>
      </c>
      <c r="P172" s="10">
        <v>1</v>
      </c>
      <c r="Q172" s="10">
        <v>1</v>
      </c>
      <c r="R172" s="10"/>
      <c r="S172" s="10"/>
      <c r="T172" s="10"/>
      <c r="U172" s="10">
        <v>1</v>
      </c>
      <c r="V172" s="10"/>
      <c r="W172" s="10"/>
      <c r="X172" s="10"/>
      <c r="Y172" s="10"/>
      <c r="Z172" s="10">
        <v>1</v>
      </c>
      <c r="AA172" s="10"/>
      <c r="AB172" s="10"/>
      <c r="AC172" s="10"/>
      <c r="AD172" s="10"/>
      <c r="AE172" s="10"/>
      <c r="AF172" t="s">
        <v>532</v>
      </c>
    </row>
    <row r="173" spans="3:32" x14ac:dyDescent="0.25">
      <c r="C173" s="151" t="s">
        <v>47</v>
      </c>
      <c r="D173" s="167">
        <v>6499494</v>
      </c>
      <c r="E173" s="159" t="s">
        <v>32</v>
      </c>
      <c r="F173" s="10">
        <v>0</v>
      </c>
      <c r="G173" s="10">
        <v>1</v>
      </c>
      <c r="H173" s="10">
        <v>1</v>
      </c>
      <c r="I173" s="10"/>
      <c r="J173" s="10"/>
      <c r="K173" s="10">
        <v>1</v>
      </c>
      <c r="L173" s="10"/>
      <c r="M173" s="10"/>
      <c r="N173" s="10"/>
      <c r="O173" s="10">
        <v>1</v>
      </c>
      <c r="P173" s="10">
        <v>1</v>
      </c>
      <c r="Q173" s="10">
        <v>0</v>
      </c>
      <c r="R173" s="10"/>
      <c r="S173" s="10"/>
      <c r="T173" s="10"/>
      <c r="U173" s="10">
        <v>0</v>
      </c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3:32" x14ac:dyDescent="0.25">
      <c r="C174" s="148" t="s">
        <v>249</v>
      </c>
      <c r="D174" s="149">
        <v>2279275</v>
      </c>
      <c r="E174" s="159" t="s">
        <v>242</v>
      </c>
      <c r="F174" s="159">
        <v>0</v>
      </c>
      <c r="G174" s="159">
        <v>1</v>
      </c>
      <c r="H174">
        <v>0</v>
      </c>
      <c r="U174">
        <v>0</v>
      </c>
    </row>
    <row r="175" spans="3:32" x14ac:dyDescent="0.25">
      <c r="C175" s="151" t="s">
        <v>300</v>
      </c>
      <c r="D175" s="163">
        <v>6495503</v>
      </c>
      <c r="E175" s="149" t="s">
        <v>242</v>
      </c>
      <c r="F175" s="159">
        <v>0</v>
      </c>
      <c r="G175" s="159">
        <v>1</v>
      </c>
      <c r="H175" s="151">
        <v>0</v>
      </c>
      <c r="J175" s="151"/>
      <c r="U175" s="151">
        <v>0</v>
      </c>
    </row>
    <row r="176" spans="3:32" x14ac:dyDescent="0.25">
      <c r="C176" s="151" t="s">
        <v>111</v>
      </c>
      <c r="D176" s="164">
        <v>950828</v>
      </c>
      <c r="E176" s="159" t="s">
        <v>65</v>
      </c>
      <c r="F176" s="10">
        <v>0</v>
      </c>
      <c r="G176" s="10">
        <v>1</v>
      </c>
      <c r="H176" s="10">
        <v>1</v>
      </c>
      <c r="I176" s="10"/>
      <c r="J176" s="10"/>
      <c r="K176" s="10"/>
      <c r="L176" s="10"/>
      <c r="M176" s="10">
        <v>1</v>
      </c>
      <c r="N176" s="10"/>
      <c r="O176" s="10"/>
      <c r="P176" s="10">
        <v>1</v>
      </c>
      <c r="Q176" s="10">
        <v>1</v>
      </c>
      <c r="R176" s="10"/>
      <c r="S176" s="10"/>
      <c r="T176" s="10"/>
      <c r="U176" s="10">
        <v>0</v>
      </c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3:32" x14ac:dyDescent="0.25">
      <c r="C177" s="159" t="s">
        <v>258</v>
      </c>
      <c r="D177" s="149">
        <v>6346687</v>
      </c>
      <c r="E177" s="159" t="s">
        <v>242</v>
      </c>
      <c r="F177" s="159">
        <v>0</v>
      </c>
      <c r="G177" s="159">
        <v>1</v>
      </c>
      <c r="H177">
        <v>0</v>
      </c>
      <c r="U177">
        <v>1</v>
      </c>
      <c r="W177">
        <v>1</v>
      </c>
    </row>
    <row r="178" spans="3:32" x14ac:dyDescent="0.25">
      <c r="C178" s="159" t="s">
        <v>34</v>
      </c>
      <c r="D178" s="159">
        <v>2144782</v>
      </c>
      <c r="E178" s="159" t="s">
        <v>32</v>
      </c>
      <c r="F178" s="10">
        <v>1</v>
      </c>
      <c r="G178" s="10">
        <v>1</v>
      </c>
      <c r="H178" s="10">
        <v>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0</v>
      </c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3:32" x14ac:dyDescent="0.25">
      <c r="C179" s="182" t="s">
        <v>128</v>
      </c>
      <c r="D179" s="164">
        <v>3439354</v>
      </c>
      <c r="E179" s="159" t="s">
        <v>65</v>
      </c>
      <c r="F179" s="10">
        <v>0</v>
      </c>
      <c r="G179" s="10">
        <v>1</v>
      </c>
      <c r="H179" s="10">
        <v>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>
        <v>0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3:32" x14ac:dyDescent="0.25">
      <c r="C180" s="93" t="s">
        <v>167</v>
      </c>
      <c r="D180" s="200">
        <v>5882236</v>
      </c>
      <c r="E180" s="10" t="s">
        <v>148</v>
      </c>
      <c r="F180" s="13">
        <v>1</v>
      </c>
      <c r="G180" s="13">
        <v>1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0"/>
    </row>
    <row r="181" spans="3:32" x14ac:dyDescent="0.25">
      <c r="C181" s="153" t="s">
        <v>213</v>
      </c>
      <c r="D181" s="154">
        <v>524859</v>
      </c>
      <c r="E181" s="164" t="s">
        <v>171</v>
      </c>
      <c r="F181" s="159">
        <v>1</v>
      </c>
      <c r="G181" s="164">
        <v>1</v>
      </c>
      <c r="H181" t="s">
        <v>172</v>
      </c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</row>
    <row r="182" spans="3:32" x14ac:dyDescent="0.25">
      <c r="C182" t="s">
        <v>45</v>
      </c>
      <c r="D182" s="6">
        <v>6441005</v>
      </c>
      <c r="E182" s="159" t="s">
        <v>32</v>
      </c>
      <c r="F182" s="13">
        <v>1</v>
      </c>
      <c r="G182" s="13">
        <v>1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spans="3:32" x14ac:dyDescent="0.25">
      <c r="C183" s="155" t="s">
        <v>196</v>
      </c>
      <c r="D183" s="160">
        <v>1505916</v>
      </c>
      <c r="E183" s="158" t="s">
        <v>171</v>
      </c>
      <c r="F183" s="159">
        <v>1</v>
      </c>
      <c r="G183" s="159">
        <v>1</v>
      </c>
      <c r="H183" t="s">
        <v>172</v>
      </c>
    </row>
    <row r="184" spans="3:32" x14ac:dyDescent="0.25">
      <c r="C184" s="194" t="s">
        <v>164</v>
      </c>
      <c r="D184" s="200">
        <v>3361340</v>
      </c>
      <c r="E184" s="10" t="s">
        <v>148</v>
      </c>
      <c r="F184" s="10">
        <v>0</v>
      </c>
      <c r="G184" s="10">
        <v>1</v>
      </c>
      <c r="H184" s="10">
        <v>1</v>
      </c>
      <c r="I184" s="10"/>
      <c r="J184" s="10"/>
      <c r="K184" s="10">
        <v>1</v>
      </c>
      <c r="L184" s="10"/>
      <c r="M184" s="10"/>
      <c r="N184" s="10"/>
      <c r="O184" s="10">
        <v>1</v>
      </c>
      <c r="P184" s="10"/>
      <c r="Q184" s="10">
        <v>1</v>
      </c>
      <c r="R184" s="10"/>
      <c r="S184" s="10"/>
      <c r="T184" s="10"/>
      <c r="U184" s="10">
        <v>1</v>
      </c>
      <c r="V184" s="10"/>
      <c r="W184" s="10"/>
      <c r="X184" s="10"/>
      <c r="Y184" s="10"/>
      <c r="Z184" s="10"/>
      <c r="AA184" s="10"/>
      <c r="AB184" s="10">
        <v>1</v>
      </c>
      <c r="AC184" s="10"/>
      <c r="AD184" s="10">
        <v>2</v>
      </c>
      <c r="AE184" s="10"/>
      <c r="AF184" s="10"/>
    </row>
    <row r="185" spans="3:32" x14ac:dyDescent="0.25">
      <c r="C185" s="165" t="s">
        <v>206</v>
      </c>
      <c r="D185" s="149">
        <v>242136</v>
      </c>
      <c r="E185" s="159" t="s">
        <v>171</v>
      </c>
      <c r="F185" s="159">
        <v>0</v>
      </c>
      <c r="G185" s="159">
        <v>1</v>
      </c>
      <c r="H185" s="165">
        <v>1</v>
      </c>
      <c r="I185" s="165"/>
      <c r="J185" s="165"/>
      <c r="K185" s="165">
        <v>1</v>
      </c>
      <c r="L185" s="165"/>
      <c r="M185" s="165"/>
      <c r="N185" s="165"/>
      <c r="O185" s="165">
        <v>1</v>
      </c>
      <c r="P185" s="165"/>
      <c r="Q185" s="165"/>
      <c r="R185" s="165"/>
      <c r="S185" s="165"/>
      <c r="T185" s="165"/>
      <c r="U185" s="165">
        <v>0</v>
      </c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</row>
    <row r="186" spans="3:32" x14ac:dyDescent="0.25">
      <c r="C186" s="153" t="s">
        <v>67</v>
      </c>
      <c r="D186" s="164">
        <v>5495453</v>
      </c>
      <c r="E186" s="159" t="s">
        <v>65</v>
      </c>
      <c r="F186" s="13">
        <v>1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spans="3:32" x14ac:dyDescent="0.25">
      <c r="C187" s="151" t="s">
        <v>89</v>
      </c>
      <c r="D187" s="167">
        <v>4012359</v>
      </c>
      <c r="E187" s="159" t="s">
        <v>65</v>
      </c>
      <c r="F187" s="10">
        <v>0</v>
      </c>
      <c r="G187" s="10">
        <v>1</v>
      </c>
      <c r="H187" s="10">
        <v>1</v>
      </c>
      <c r="I187" s="10"/>
      <c r="J187" s="10"/>
      <c r="K187" s="10"/>
      <c r="L187" s="10"/>
      <c r="M187" s="10"/>
      <c r="N187" s="10"/>
      <c r="O187" s="10">
        <v>1</v>
      </c>
      <c r="P187" s="10"/>
      <c r="Q187" s="10"/>
      <c r="R187" s="10"/>
      <c r="S187" s="10"/>
      <c r="T187" s="10"/>
      <c r="U187" s="10">
        <v>0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>
        <v>2</v>
      </c>
    </row>
    <row r="188" spans="3:32" x14ac:dyDescent="0.25">
      <c r="C188" s="159" t="s">
        <v>31</v>
      </c>
      <c r="D188" s="159">
        <v>860879</v>
      </c>
      <c r="E188" s="159" t="s">
        <v>32</v>
      </c>
      <c r="F188" s="10">
        <v>0</v>
      </c>
      <c r="G188" s="10">
        <v>1</v>
      </c>
      <c r="H188" s="10">
        <v>1</v>
      </c>
      <c r="I188" s="10"/>
      <c r="J188" s="10"/>
      <c r="K188" s="10">
        <v>1</v>
      </c>
      <c r="L188" s="10"/>
      <c r="M188" s="10"/>
      <c r="N188" s="10"/>
      <c r="O188" s="10">
        <v>1</v>
      </c>
      <c r="P188" s="10"/>
      <c r="Q188" s="10"/>
      <c r="R188" s="10"/>
      <c r="S188" s="10"/>
      <c r="T188" s="10"/>
      <c r="U188" s="10">
        <v>0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>
        <v>2</v>
      </c>
    </row>
    <row r="189" spans="3:32" x14ac:dyDescent="0.25">
      <c r="C189" s="176" t="s">
        <v>216</v>
      </c>
      <c r="D189" s="177">
        <v>1766448</v>
      </c>
      <c r="E189" s="164" t="s">
        <v>171</v>
      </c>
      <c r="F189" s="159">
        <v>0</v>
      </c>
      <c r="G189" s="159">
        <v>1</v>
      </c>
      <c r="H189" s="151">
        <v>1</v>
      </c>
      <c r="I189" s="151"/>
      <c r="J189" s="151"/>
      <c r="K189" s="151">
        <v>1</v>
      </c>
      <c r="L189" s="151"/>
      <c r="M189" s="151">
        <v>1</v>
      </c>
      <c r="N189" s="151"/>
      <c r="O189" s="151"/>
      <c r="P189" s="151"/>
      <c r="Q189" s="151"/>
      <c r="R189" s="151"/>
      <c r="S189" s="151"/>
      <c r="T189" s="151"/>
      <c r="U189" s="151">
        <v>0</v>
      </c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</row>
    <row r="190" spans="3:32" x14ac:dyDescent="0.25">
      <c r="C190" s="178" t="s">
        <v>198</v>
      </c>
      <c r="D190" s="160">
        <v>4894117</v>
      </c>
      <c r="E190" s="178" t="s">
        <v>171</v>
      </c>
      <c r="F190" s="159">
        <v>0</v>
      </c>
      <c r="G190" s="159">
        <v>1</v>
      </c>
      <c r="H190" s="178">
        <v>0</v>
      </c>
      <c r="I190" s="181"/>
      <c r="J190" s="181"/>
      <c r="K190" s="181"/>
      <c r="L190" s="181"/>
      <c r="M190" s="181"/>
      <c r="N190" s="181"/>
      <c r="O190" s="181"/>
      <c r="P190" s="181"/>
      <c r="Q190" s="181"/>
      <c r="R190" s="178"/>
      <c r="S190" s="181"/>
      <c r="T190" s="181"/>
      <c r="U190" s="181">
        <v>0</v>
      </c>
      <c r="W190" s="178"/>
      <c r="X190" s="181"/>
      <c r="Y190" s="181"/>
      <c r="Z190" s="181"/>
      <c r="AA190" s="178"/>
      <c r="AB190" s="178"/>
      <c r="AC190" s="181"/>
      <c r="AD190" s="181"/>
      <c r="AE190" s="181"/>
    </row>
    <row r="191" spans="3:32" x14ac:dyDescent="0.25">
      <c r="C191" s="153" t="s">
        <v>69</v>
      </c>
      <c r="D191" s="164">
        <v>2404653</v>
      </c>
      <c r="E191" s="159" t="s">
        <v>65</v>
      </c>
      <c r="F191" s="13">
        <v>1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spans="3:32" x14ac:dyDescent="0.25">
      <c r="C192" s="148" t="s">
        <v>175</v>
      </c>
      <c r="D192" s="149">
        <v>4646753</v>
      </c>
      <c r="E192" s="159" t="s">
        <v>171</v>
      </c>
      <c r="F192" s="159">
        <v>0</v>
      </c>
      <c r="G192" s="159">
        <v>1</v>
      </c>
      <c r="H192">
        <v>2</v>
      </c>
      <c r="I192">
        <v>2</v>
      </c>
      <c r="J192">
        <v>2</v>
      </c>
      <c r="K192">
        <v>2</v>
      </c>
      <c r="L192">
        <v>1</v>
      </c>
      <c r="O192">
        <v>2</v>
      </c>
      <c r="U192">
        <v>1</v>
      </c>
      <c r="AA192">
        <v>1</v>
      </c>
    </row>
    <row r="193" spans="3:32" x14ac:dyDescent="0.25">
      <c r="C193" s="153" t="s">
        <v>117</v>
      </c>
      <c r="D193" s="164">
        <v>1429898</v>
      </c>
      <c r="E193" s="159" t="s">
        <v>65</v>
      </c>
      <c r="F193" s="10">
        <v>0</v>
      </c>
      <c r="G193" s="10">
        <v>1</v>
      </c>
      <c r="H193" s="10">
        <v>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>
        <v>0</v>
      </c>
      <c r="V193" s="10"/>
      <c r="W193" s="10"/>
      <c r="X193" s="10"/>
      <c r="Y193" s="10"/>
      <c r="Z193" s="10"/>
      <c r="AA193" s="10"/>
      <c r="AB193" s="10"/>
      <c r="AC193" s="10"/>
      <c r="AD193" s="10"/>
      <c r="AE193" s="10">
        <v>2</v>
      </c>
    </row>
    <row r="194" spans="3:32" x14ac:dyDescent="0.25">
      <c r="C194" s="148" t="s">
        <v>182</v>
      </c>
      <c r="D194" s="149">
        <v>5059887</v>
      </c>
      <c r="E194" s="159" t="s">
        <v>171</v>
      </c>
      <c r="F194" s="159">
        <v>0</v>
      </c>
      <c r="G194" s="159">
        <v>1</v>
      </c>
      <c r="H194">
        <v>2</v>
      </c>
      <c r="K194">
        <v>2</v>
      </c>
      <c r="O194">
        <v>2</v>
      </c>
      <c r="U194">
        <v>0</v>
      </c>
    </row>
    <row r="195" spans="3:32" x14ac:dyDescent="0.25">
      <c r="C195" s="153" t="s">
        <v>83</v>
      </c>
      <c r="D195" s="167">
        <v>6648143</v>
      </c>
      <c r="E195" s="159" t="s">
        <v>65</v>
      </c>
      <c r="F195" s="10">
        <v>0</v>
      </c>
      <c r="G195" s="10">
        <v>1</v>
      </c>
      <c r="H195" s="10">
        <v>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0</v>
      </c>
      <c r="V195" s="10"/>
      <c r="W195" s="10"/>
      <c r="X195" s="10"/>
      <c r="Y195" s="10"/>
      <c r="Z195" s="10"/>
      <c r="AA195" s="10"/>
      <c r="AB195" s="10"/>
      <c r="AC195" s="10"/>
      <c r="AD195" s="10">
        <v>1</v>
      </c>
      <c r="AE195" s="10">
        <v>1</v>
      </c>
    </row>
    <row r="196" spans="3:32" x14ac:dyDescent="0.25">
      <c r="C196" s="187" t="s">
        <v>68</v>
      </c>
      <c r="D196" s="167">
        <v>1817419</v>
      </c>
      <c r="E196" s="159" t="s">
        <v>65</v>
      </c>
      <c r="F196" s="10">
        <v>0</v>
      </c>
      <c r="G196" s="10">
        <v>1</v>
      </c>
      <c r="H196" s="10">
        <v>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1</v>
      </c>
      <c r="V196" s="10"/>
      <c r="W196" s="10"/>
      <c r="X196" s="10">
        <v>1</v>
      </c>
      <c r="Y196" s="10"/>
      <c r="Z196" s="10"/>
      <c r="AA196" s="10"/>
      <c r="AB196" s="10"/>
      <c r="AC196" s="10"/>
      <c r="AD196" s="10"/>
      <c r="AE196" s="10"/>
    </row>
    <row r="197" spans="3:32" x14ac:dyDescent="0.25">
      <c r="C197" s="184" t="s">
        <v>57</v>
      </c>
      <c r="D197" s="167">
        <v>5576950</v>
      </c>
      <c r="E197" s="159" t="s">
        <v>32</v>
      </c>
      <c r="F197" s="10">
        <v>0</v>
      </c>
      <c r="G197" s="10">
        <v>1</v>
      </c>
      <c r="H197" s="10">
        <v>1</v>
      </c>
      <c r="I197" s="10"/>
      <c r="J197" s="10"/>
      <c r="K197" s="10"/>
      <c r="L197" s="10">
        <v>1</v>
      </c>
      <c r="M197" s="10"/>
      <c r="N197" s="10"/>
      <c r="O197" s="10">
        <v>1</v>
      </c>
      <c r="P197" s="10"/>
      <c r="Q197" s="10"/>
      <c r="R197" s="10"/>
      <c r="S197" s="10"/>
      <c r="T197" s="10"/>
      <c r="U197" s="10">
        <v>0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2</v>
      </c>
    </row>
    <row r="198" spans="3:32" x14ac:dyDescent="0.25">
      <c r="C198" s="148" t="s">
        <v>247</v>
      </c>
      <c r="D198" s="149">
        <v>6332571</v>
      </c>
      <c r="E198" s="159" t="s">
        <v>242</v>
      </c>
      <c r="F198" s="159">
        <v>0</v>
      </c>
      <c r="G198" s="159">
        <v>1</v>
      </c>
      <c r="H198">
        <v>1</v>
      </c>
      <c r="L198">
        <v>1</v>
      </c>
      <c r="O198">
        <v>1</v>
      </c>
      <c r="U198">
        <v>0</v>
      </c>
    </row>
    <row r="199" spans="3:32" x14ac:dyDescent="0.25">
      <c r="C199" s="157" t="s">
        <v>290</v>
      </c>
      <c r="D199" s="158">
        <v>1228610</v>
      </c>
      <c r="E199" s="158" t="s">
        <v>242</v>
      </c>
      <c r="F199" s="159">
        <v>0</v>
      </c>
      <c r="G199" s="159">
        <v>1</v>
      </c>
      <c r="H199" s="151">
        <v>1</v>
      </c>
      <c r="U199" s="151">
        <v>0</v>
      </c>
    </row>
    <row r="200" spans="3:32" x14ac:dyDescent="0.25">
      <c r="C200" s="193" t="s">
        <v>221</v>
      </c>
      <c r="D200" s="204">
        <v>865936</v>
      </c>
      <c r="E200" s="158" t="s">
        <v>171</v>
      </c>
      <c r="F200" s="159">
        <v>0</v>
      </c>
      <c r="G200" s="159">
        <v>1</v>
      </c>
      <c r="H200">
        <v>1</v>
      </c>
      <c r="O200">
        <v>1</v>
      </c>
      <c r="P200">
        <v>1</v>
      </c>
      <c r="U200">
        <v>0</v>
      </c>
    </row>
    <row r="201" spans="3:32" x14ac:dyDescent="0.25">
      <c r="C201" s="190" t="s">
        <v>84</v>
      </c>
      <c r="D201" s="20">
        <v>5191378</v>
      </c>
      <c r="E201" s="159" t="s">
        <v>65</v>
      </c>
      <c r="F201" s="13">
        <v>1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spans="3:32" x14ac:dyDescent="0.25">
      <c r="C202" s="191" t="s">
        <v>266</v>
      </c>
      <c r="D202" s="199">
        <v>3334743</v>
      </c>
      <c r="E202" s="159" t="s">
        <v>242</v>
      </c>
      <c r="F202" s="159">
        <v>0</v>
      </c>
      <c r="G202" s="169">
        <v>1</v>
      </c>
      <c r="H202">
        <v>0</v>
      </c>
      <c r="U202">
        <v>0</v>
      </c>
    </row>
    <row r="203" spans="3:32" x14ac:dyDescent="0.25">
      <c r="C203" s="191" t="s">
        <v>259</v>
      </c>
      <c r="D203" s="199">
        <v>5532430</v>
      </c>
      <c r="E203" s="159" t="s">
        <v>242</v>
      </c>
      <c r="F203" s="159">
        <v>1</v>
      </c>
      <c r="G203" s="159">
        <v>1</v>
      </c>
      <c r="H203" t="s">
        <v>172</v>
      </c>
    </row>
    <row r="204" spans="3:32" x14ac:dyDescent="0.25">
      <c r="C204" s="193" t="s">
        <v>217</v>
      </c>
      <c r="D204" s="202">
        <v>4651408</v>
      </c>
      <c r="E204" s="158" t="s">
        <v>171</v>
      </c>
      <c r="F204" s="159">
        <v>0</v>
      </c>
      <c r="G204" s="159">
        <v>1</v>
      </c>
      <c r="H204">
        <v>0</v>
      </c>
      <c r="U204" s="151">
        <v>0</v>
      </c>
    </row>
    <row r="205" spans="3:32" x14ac:dyDescent="0.25">
      <c r="C205" s="191" t="s">
        <v>262</v>
      </c>
      <c r="D205" s="199">
        <v>6283137</v>
      </c>
      <c r="E205" s="159" t="s">
        <v>242</v>
      </c>
      <c r="F205" s="159">
        <v>1</v>
      </c>
      <c r="G205" s="159">
        <v>1</v>
      </c>
      <c r="H205" t="s">
        <v>172</v>
      </c>
    </row>
    <row r="206" spans="3:32" ht="15.75" x14ac:dyDescent="0.25">
      <c r="C206" s="195" t="s">
        <v>267</v>
      </c>
      <c r="D206" s="204">
        <v>3318633</v>
      </c>
      <c r="E206" s="159" t="s">
        <v>242</v>
      </c>
      <c r="F206" s="159">
        <v>0</v>
      </c>
      <c r="G206" s="159">
        <v>1</v>
      </c>
      <c r="H206">
        <v>0</v>
      </c>
      <c r="U206">
        <v>0</v>
      </c>
    </row>
    <row r="207" spans="3:32" x14ac:dyDescent="0.25">
      <c r="C207" s="191" t="s">
        <v>257</v>
      </c>
      <c r="D207" s="199">
        <v>3693077</v>
      </c>
      <c r="E207" s="159" t="s">
        <v>242</v>
      </c>
      <c r="F207" s="159">
        <v>0</v>
      </c>
      <c r="G207" s="159">
        <v>1</v>
      </c>
      <c r="H207">
        <v>0</v>
      </c>
      <c r="U207">
        <v>0</v>
      </c>
    </row>
    <row r="208" spans="3:32" x14ac:dyDescent="0.25">
      <c r="C208" s="18" t="s">
        <v>150</v>
      </c>
      <c r="D208" s="19" t="s">
        <v>151</v>
      </c>
      <c r="E208" s="10" t="s">
        <v>148</v>
      </c>
      <c r="F208" s="10">
        <v>0</v>
      </c>
      <c r="G208" s="10">
        <v>1</v>
      </c>
      <c r="H208" s="10">
        <v>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>
        <v>0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3:29" x14ac:dyDescent="0.25">
      <c r="C209" s="193" t="s">
        <v>240</v>
      </c>
      <c r="D209" s="205">
        <v>626247</v>
      </c>
      <c r="E209" s="158" t="s">
        <v>171</v>
      </c>
      <c r="F209" s="159">
        <v>0</v>
      </c>
      <c r="G209" s="159">
        <v>1</v>
      </c>
      <c r="H209">
        <v>1</v>
      </c>
      <c r="K209">
        <v>1</v>
      </c>
      <c r="O209">
        <v>1</v>
      </c>
      <c r="U209">
        <v>1</v>
      </c>
      <c r="Z209">
        <v>1</v>
      </c>
      <c r="AC209" t="s">
        <v>523</v>
      </c>
    </row>
  </sheetData>
  <sortState xmlns:xlrd2="http://schemas.microsoft.com/office/spreadsheetml/2017/richdata2" ref="A2:AF209">
    <sortCondition ref="C1:C20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05D-70A9-4953-B582-8EE5314A9549}">
  <dimension ref="A1:AF209"/>
  <sheetViews>
    <sheetView topLeftCell="C1" workbookViewId="0">
      <pane ySplit="1" topLeftCell="A175" activePane="bottomLeft" state="frozen"/>
      <selection activeCell="C1" sqref="C1"/>
      <selection pane="bottomLeft" activeCell="G186" sqref="G186"/>
    </sheetView>
  </sheetViews>
  <sheetFormatPr defaultRowHeight="15" x14ac:dyDescent="0.25"/>
  <cols>
    <col min="1" max="2" width="0" hidden="1" customWidth="1"/>
    <col min="3" max="3" width="26.140625" bestFit="1" customWidth="1"/>
    <col min="4" max="4" width="15.140625" customWidth="1"/>
    <col min="6" max="6" width="26.28515625" customWidth="1"/>
    <col min="7" max="7" width="15.5703125" customWidth="1"/>
    <col min="10" max="10" width="10.28515625" bestFit="1" customWidth="1"/>
    <col min="11" max="11" width="19.7109375" bestFit="1" customWidth="1"/>
    <col min="12" max="12" width="22" bestFit="1" customWidth="1"/>
    <col min="13" max="13" width="19.140625" bestFit="1" customWidth="1"/>
    <col min="15" max="15" width="17.42578125" bestFit="1" customWidth="1"/>
    <col min="20" max="20" width="39" customWidth="1"/>
  </cols>
  <sheetData>
    <row r="1" spans="1:31" ht="30" x14ac:dyDescent="0.25">
      <c r="A1" t="s">
        <v>516</v>
      </c>
      <c r="B1" t="s">
        <v>515</v>
      </c>
      <c r="C1" s="1" t="s">
        <v>0</v>
      </c>
      <c r="D1" s="2" t="s">
        <v>1</v>
      </c>
      <c r="E1" s="145" t="s">
        <v>5</v>
      </c>
      <c r="F1" s="188" t="s">
        <v>525</v>
      </c>
      <c r="G1" s="188" t="s">
        <v>526</v>
      </c>
      <c r="H1" s="146" t="s">
        <v>8</v>
      </c>
      <c r="I1" s="146" t="s">
        <v>9</v>
      </c>
      <c r="J1" s="146" t="s">
        <v>10</v>
      </c>
      <c r="K1" s="146" t="s">
        <v>11</v>
      </c>
      <c r="L1" s="146" t="s">
        <v>12</v>
      </c>
      <c r="M1" s="146" t="s">
        <v>13</v>
      </c>
      <c r="N1" s="146" t="s">
        <v>14</v>
      </c>
      <c r="O1" s="146" t="s">
        <v>15</v>
      </c>
      <c r="P1" s="146" t="s">
        <v>16</v>
      </c>
      <c r="Q1" s="146" t="s">
        <v>17</v>
      </c>
      <c r="R1" s="146" t="s">
        <v>18</v>
      </c>
      <c r="S1" s="146" t="s">
        <v>19</v>
      </c>
      <c r="T1" s="146" t="s">
        <v>20</v>
      </c>
      <c r="U1" s="27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20</v>
      </c>
      <c r="AD1" s="147" t="s">
        <v>29</v>
      </c>
      <c r="AE1" s="147" t="s">
        <v>30</v>
      </c>
    </row>
    <row r="2" spans="1:31" x14ac:dyDescent="0.25">
      <c r="C2" s="151" t="s">
        <v>115</v>
      </c>
      <c r="D2" s="167">
        <v>6344639</v>
      </c>
      <c r="E2" s="159" t="s">
        <v>65</v>
      </c>
      <c r="F2" s="10">
        <v>0</v>
      </c>
      <c r="G2" s="10">
        <v>0</v>
      </c>
      <c r="H2" s="10">
        <v>1</v>
      </c>
      <c r="I2" s="8"/>
      <c r="J2" s="10"/>
      <c r="K2" s="10">
        <v>1</v>
      </c>
      <c r="L2" s="10"/>
      <c r="M2" s="10">
        <v>1</v>
      </c>
      <c r="N2" s="10"/>
      <c r="O2" s="10">
        <v>1</v>
      </c>
      <c r="P2" s="10"/>
      <c r="Q2" s="10"/>
      <c r="R2" s="10"/>
      <c r="S2" s="10"/>
      <c r="T2" s="10"/>
      <c r="U2" s="10">
        <v>1</v>
      </c>
      <c r="V2" s="10"/>
      <c r="W2" s="10"/>
      <c r="X2" s="10">
        <v>1</v>
      </c>
      <c r="Y2" s="10"/>
      <c r="Z2" s="10"/>
      <c r="AA2" s="10"/>
      <c r="AB2" s="10"/>
      <c r="AC2" s="10"/>
      <c r="AD2" s="10"/>
      <c r="AE2" s="10">
        <v>2</v>
      </c>
    </row>
    <row r="3" spans="1:31" x14ac:dyDescent="0.25">
      <c r="C3" s="150" t="s">
        <v>202</v>
      </c>
      <c r="D3" s="149">
        <v>2192350</v>
      </c>
      <c r="E3" s="150" t="s">
        <v>171</v>
      </c>
      <c r="F3" s="159">
        <v>0</v>
      </c>
      <c r="G3" s="159">
        <v>1</v>
      </c>
      <c r="H3" s="150">
        <v>2</v>
      </c>
      <c r="I3" s="150"/>
      <c r="J3" s="150"/>
      <c r="K3" s="150">
        <v>2</v>
      </c>
      <c r="L3" s="150"/>
      <c r="M3" s="150"/>
      <c r="N3" s="150"/>
      <c r="O3" s="150">
        <v>2</v>
      </c>
      <c r="P3" s="150"/>
      <c r="Q3" s="150"/>
      <c r="R3" s="150"/>
      <c r="S3" s="150"/>
      <c r="T3" s="150" t="s">
        <v>203</v>
      </c>
      <c r="U3" s="150">
        <v>2</v>
      </c>
      <c r="V3" s="150"/>
      <c r="W3" s="150"/>
      <c r="X3" s="150"/>
      <c r="Y3" s="150"/>
      <c r="Z3" s="150">
        <v>2</v>
      </c>
      <c r="AA3" s="150">
        <v>2</v>
      </c>
      <c r="AB3" s="150">
        <v>1</v>
      </c>
      <c r="AC3" s="150" t="s">
        <v>537</v>
      </c>
      <c r="AD3" s="150"/>
      <c r="AE3" s="150"/>
    </row>
    <row r="4" spans="1:31" x14ac:dyDescent="0.25">
      <c r="C4" s="151" t="s">
        <v>104</v>
      </c>
      <c r="D4" s="167">
        <v>2293334</v>
      </c>
      <c r="E4" s="159" t="s">
        <v>65</v>
      </c>
      <c r="F4" s="10">
        <v>0</v>
      </c>
      <c r="G4" s="10">
        <v>1</v>
      </c>
      <c r="H4" s="10">
        <v>0</v>
      </c>
      <c r="I4" s="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v>0</v>
      </c>
      <c r="V4" s="10"/>
      <c r="W4" s="10"/>
      <c r="X4" s="10"/>
      <c r="Y4" s="10"/>
      <c r="Z4" s="10"/>
      <c r="AA4" s="10"/>
      <c r="AB4" s="10"/>
      <c r="AC4" s="10"/>
      <c r="AD4" s="10">
        <v>1</v>
      </c>
      <c r="AE4" s="10">
        <v>2</v>
      </c>
    </row>
    <row r="5" spans="1:31" x14ac:dyDescent="0.25">
      <c r="C5" s="151" t="s">
        <v>223</v>
      </c>
      <c r="D5" s="152">
        <v>3925175</v>
      </c>
      <c r="E5" s="164" t="s">
        <v>171</v>
      </c>
      <c r="F5" s="159">
        <v>0</v>
      </c>
      <c r="G5" s="159">
        <v>1</v>
      </c>
      <c r="H5" s="151">
        <v>1</v>
      </c>
      <c r="I5" s="180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>
        <v>0</v>
      </c>
      <c r="V5" s="151"/>
      <c r="W5" s="151"/>
      <c r="X5" s="151"/>
      <c r="Y5" s="151"/>
      <c r="Z5" s="151"/>
      <c r="AA5" s="151"/>
      <c r="AB5" s="151"/>
      <c r="AC5" s="151"/>
      <c r="AD5" s="151"/>
      <c r="AE5" s="151"/>
    </row>
    <row r="6" spans="1:31" x14ac:dyDescent="0.25">
      <c r="C6" s="148" t="s">
        <v>184</v>
      </c>
      <c r="D6" s="149">
        <v>1081580</v>
      </c>
      <c r="E6" s="159" t="s">
        <v>171</v>
      </c>
      <c r="F6" s="159">
        <v>0</v>
      </c>
      <c r="G6" s="159">
        <v>1</v>
      </c>
      <c r="H6">
        <v>0</v>
      </c>
      <c r="U6">
        <v>0</v>
      </c>
    </row>
    <row r="7" spans="1:31" x14ac:dyDescent="0.25">
      <c r="C7" s="153" t="s">
        <v>218</v>
      </c>
      <c r="D7" s="154">
        <v>5901224</v>
      </c>
      <c r="E7" s="164" t="s">
        <v>171</v>
      </c>
      <c r="F7" s="159">
        <v>1</v>
      </c>
      <c r="G7" s="159">
        <v>1</v>
      </c>
      <c r="H7" t="s">
        <v>172</v>
      </c>
      <c r="I7" s="180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</row>
    <row r="8" spans="1:31" x14ac:dyDescent="0.25">
      <c r="C8" s="151" t="s">
        <v>137</v>
      </c>
      <c r="D8" s="167">
        <v>6661252</v>
      </c>
      <c r="E8" s="159" t="s">
        <v>65</v>
      </c>
      <c r="F8" s="10">
        <v>0</v>
      </c>
      <c r="G8" s="10">
        <v>1</v>
      </c>
      <c r="H8" s="10">
        <v>1</v>
      </c>
      <c r="I8" s="8"/>
      <c r="J8" s="10"/>
      <c r="K8" s="10">
        <v>1</v>
      </c>
      <c r="L8" s="10"/>
      <c r="M8" s="10"/>
      <c r="N8" s="10"/>
      <c r="O8" s="10"/>
      <c r="P8" s="10">
        <v>1</v>
      </c>
      <c r="Q8" s="10"/>
      <c r="R8" s="10"/>
      <c r="S8" s="10"/>
      <c r="T8" s="10"/>
      <c r="U8" s="10">
        <v>0</v>
      </c>
      <c r="V8" s="10"/>
      <c r="W8" s="10"/>
      <c r="X8" s="10"/>
      <c r="Y8" s="10"/>
      <c r="Z8" s="10"/>
      <c r="AA8" s="10"/>
      <c r="AB8" s="10"/>
      <c r="AC8" s="10"/>
      <c r="AD8" s="10">
        <v>1</v>
      </c>
      <c r="AE8" s="10">
        <v>2</v>
      </c>
    </row>
    <row r="9" spans="1:31" x14ac:dyDescent="0.25">
      <c r="C9" s="153" t="s">
        <v>75</v>
      </c>
      <c r="D9" s="164">
        <v>4028469</v>
      </c>
      <c r="E9" s="159" t="s">
        <v>65</v>
      </c>
      <c r="F9" s="10">
        <v>0</v>
      </c>
      <c r="G9" s="10">
        <v>1</v>
      </c>
      <c r="H9" s="10">
        <v>1</v>
      </c>
      <c r="I9" s="8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>
        <v>0</v>
      </c>
      <c r="V9" s="10"/>
      <c r="W9" s="10"/>
      <c r="X9" s="10"/>
      <c r="Y9" s="10"/>
      <c r="Z9" s="10"/>
      <c r="AA9" s="10"/>
      <c r="AB9" s="10"/>
      <c r="AC9" s="10"/>
      <c r="AD9" s="10"/>
      <c r="AE9" s="10">
        <v>2</v>
      </c>
    </row>
    <row r="10" spans="1:31" x14ac:dyDescent="0.25">
      <c r="C10" s="155" t="s">
        <v>199</v>
      </c>
      <c r="D10" s="156">
        <v>4333565</v>
      </c>
      <c r="E10" s="158" t="s">
        <v>171</v>
      </c>
      <c r="F10" s="159">
        <v>0</v>
      </c>
      <c r="G10" s="159">
        <v>1</v>
      </c>
      <c r="H10">
        <v>2</v>
      </c>
      <c r="K10">
        <v>2</v>
      </c>
      <c r="O10">
        <v>2</v>
      </c>
      <c r="T10" t="s">
        <v>200</v>
      </c>
      <c r="U10">
        <v>0</v>
      </c>
    </row>
    <row r="11" spans="1:31" x14ac:dyDescent="0.25">
      <c r="C11" s="151" t="s">
        <v>86</v>
      </c>
      <c r="D11" s="167">
        <v>2742922</v>
      </c>
      <c r="E11" s="159" t="s">
        <v>65</v>
      </c>
      <c r="F11" s="10">
        <v>0</v>
      </c>
      <c r="G11" s="10">
        <v>1</v>
      </c>
      <c r="H11" s="10">
        <v>0</v>
      </c>
      <c r="I11" s="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0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5">
      <c r="C12" s="151" t="s">
        <v>120</v>
      </c>
      <c r="D12" s="167">
        <v>6673787</v>
      </c>
      <c r="E12" s="159" t="s">
        <v>65</v>
      </c>
      <c r="F12" s="13">
        <v>1</v>
      </c>
      <c r="G12" s="13">
        <v>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25">
      <c r="C13" s="151" t="s">
        <v>127</v>
      </c>
      <c r="D13" s="164">
        <v>4196956</v>
      </c>
      <c r="E13" s="159" t="s">
        <v>65</v>
      </c>
      <c r="F13" s="10">
        <v>0</v>
      </c>
      <c r="G13" s="10">
        <v>1</v>
      </c>
      <c r="H13" s="10">
        <v>0</v>
      </c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0</v>
      </c>
      <c r="V13" s="10"/>
      <c r="W13" s="10"/>
      <c r="X13" s="10"/>
      <c r="Y13" s="10"/>
      <c r="Z13" s="10"/>
      <c r="AA13" s="10"/>
      <c r="AB13" s="10"/>
      <c r="AC13" s="10"/>
      <c r="AD13" s="10">
        <v>1</v>
      </c>
      <c r="AE13" s="10">
        <v>2</v>
      </c>
    </row>
    <row r="14" spans="1:31" x14ac:dyDescent="0.25">
      <c r="C14" s="153" t="s">
        <v>56</v>
      </c>
      <c r="D14" s="164">
        <v>6515626</v>
      </c>
      <c r="E14" s="159" t="s">
        <v>32</v>
      </c>
      <c r="F14" s="10">
        <v>0</v>
      </c>
      <c r="G14" s="10">
        <v>1</v>
      </c>
      <c r="H14" s="10">
        <v>1</v>
      </c>
      <c r="I14" s="8"/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>
        <v>1</v>
      </c>
      <c r="X14" s="10"/>
      <c r="Y14" s="10"/>
      <c r="Z14" s="10"/>
      <c r="AA14" s="10"/>
      <c r="AB14" s="10"/>
      <c r="AC14" s="10"/>
      <c r="AD14" s="10"/>
      <c r="AE14" s="10"/>
    </row>
    <row r="15" spans="1:31" x14ac:dyDescent="0.25">
      <c r="C15" s="153" t="s">
        <v>227</v>
      </c>
      <c r="D15" s="154">
        <v>4839122</v>
      </c>
      <c r="E15" s="164" t="s">
        <v>171</v>
      </c>
      <c r="F15" s="159">
        <v>0</v>
      </c>
      <c r="G15" s="159">
        <v>1</v>
      </c>
      <c r="H15" s="151">
        <v>1</v>
      </c>
      <c r="I15" s="151"/>
      <c r="J15" s="151"/>
      <c r="K15" s="151"/>
      <c r="L15" s="151"/>
      <c r="M15" s="151"/>
      <c r="N15" s="151"/>
      <c r="O15" s="151">
        <v>1</v>
      </c>
      <c r="P15" s="151">
        <v>1</v>
      </c>
      <c r="Q15" s="151"/>
      <c r="R15" s="151"/>
      <c r="S15" s="151"/>
      <c r="T15" s="151"/>
      <c r="U15" s="151">
        <v>0</v>
      </c>
      <c r="W15" s="151"/>
      <c r="X15" s="151"/>
      <c r="Y15" s="151"/>
      <c r="Z15" s="151"/>
      <c r="AA15" s="151"/>
      <c r="AB15" s="151"/>
      <c r="AC15" s="151"/>
      <c r="AD15" s="151"/>
      <c r="AE15" s="151"/>
    </row>
    <row r="16" spans="1:31" x14ac:dyDescent="0.25">
      <c r="C16" s="151" t="s">
        <v>59</v>
      </c>
      <c r="D16" s="167">
        <v>4223888</v>
      </c>
      <c r="E16" s="159" t="s">
        <v>40</v>
      </c>
      <c r="F16" s="13">
        <v>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3:32" x14ac:dyDescent="0.25">
      <c r="C17" s="151" t="s">
        <v>211</v>
      </c>
      <c r="D17" s="152">
        <v>6349772</v>
      </c>
      <c r="E17" s="164" t="s">
        <v>171</v>
      </c>
      <c r="F17" s="159">
        <v>0</v>
      </c>
      <c r="G17" s="159">
        <v>1</v>
      </c>
      <c r="H17" s="151">
        <v>1</v>
      </c>
      <c r="I17" s="151"/>
      <c r="J17" s="151"/>
      <c r="K17" s="151">
        <v>1</v>
      </c>
      <c r="L17" s="151">
        <v>1</v>
      </c>
      <c r="M17" s="151"/>
      <c r="N17" s="151"/>
      <c r="O17" s="151">
        <v>1</v>
      </c>
      <c r="P17" s="151"/>
      <c r="Q17" s="151"/>
      <c r="R17" s="151"/>
      <c r="S17" s="151"/>
      <c r="T17" s="151"/>
      <c r="U17" s="151">
        <v>0</v>
      </c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</row>
    <row r="18" spans="3:32" x14ac:dyDescent="0.25">
      <c r="C18" s="151" t="s">
        <v>88</v>
      </c>
      <c r="D18" s="167">
        <v>2008227</v>
      </c>
      <c r="E18" s="159" t="s">
        <v>65</v>
      </c>
      <c r="F18" s="10">
        <v>0</v>
      </c>
      <c r="G18" s="10">
        <v>1</v>
      </c>
      <c r="H18" s="10">
        <v>1</v>
      </c>
      <c r="I18" s="8"/>
      <c r="J18" s="10"/>
      <c r="K18" s="10">
        <v>1</v>
      </c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>
        <v>0</v>
      </c>
      <c r="V18" s="10"/>
      <c r="W18" s="10"/>
      <c r="X18" s="10"/>
      <c r="Y18" s="10"/>
      <c r="Z18" s="10"/>
      <c r="AA18" s="10"/>
      <c r="AB18" s="10"/>
      <c r="AC18" s="10"/>
      <c r="AD18" s="10"/>
      <c r="AE18" s="10">
        <v>2</v>
      </c>
    </row>
    <row r="19" spans="3:32" x14ac:dyDescent="0.25">
      <c r="C19" s="122" t="s">
        <v>153</v>
      </c>
      <c r="D19" s="112">
        <v>3695498</v>
      </c>
      <c r="E19" s="10" t="s">
        <v>148</v>
      </c>
      <c r="F19" s="10">
        <v>0</v>
      </c>
      <c r="G19" s="10">
        <v>1</v>
      </c>
      <c r="H19" s="10">
        <v>1</v>
      </c>
      <c r="I19" s="8"/>
      <c r="J19" s="10"/>
      <c r="K19" s="10">
        <v>1</v>
      </c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/>
      <c r="AD19" s="10">
        <v>1</v>
      </c>
      <c r="AE19" s="10">
        <v>1</v>
      </c>
      <c r="AF19" s="10"/>
    </row>
    <row r="20" spans="3:32" x14ac:dyDescent="0.25">
      <c r="C20" s="157" t="s">
        <v>195</v>
      </c>
      <c r="D20" s="158">
        <v>762097</v>
      </c>
      <c r="E20" s="159" t="s">
        <v>171</v>
      </c>
      <c r="F20" s="159">
        <v>1</v>
      </c>
      <c r="G20" s="159">
        <v>1</v>
      </c>
      <c r="H20" t="s">
        <v>172</v>
      </c>
      <c r="I20" s="17"/>
    </row>
    <row r="21" spans="3:32" x14ac:dyDescent="0.25">
      <c r="C21" s="159" t="s">
        <v>264</v>
      </c>
      <c r="D21" s="149">
        <v>1764235</v>
      </c>
      <c r="E21" s="159" t="s">
        <v>242</v>
      </c>
      <c r="F21" s="159">
        <v>0</v>
      </c>
      <c r="G21" s="159">
        <v>1</v>
      </c>
      <c r="H21">
        <v>0</v>
      </c>
      <c r="U21">
        <v>0</v>
      </c>
    </row>
    <row r="22" spans="3:32" x14ac:dyDescent="0.25">
      <c r="C22" s="151" t="s">
        <v>103</v>
      </c>
      <c r="D22" s="167">
        <v>6594458</v>
      </c>
      <c r="E22" s="159" t="s">
        <v>65</v>
      </c>
      <c r="F22" s="10">
        <v>0</v>
      </c>
      <c r="G22" s="10">
        <v>1</v>
      </c>
      <c r="H22" s="10">
        <v>1</v>
      </c>
      <c r="I22" s="8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3:32" x14ac:dyDescent="0.25">
      <c r="C23" s="148" t="s">
        <v>224</v>
      </c>
      <c r="D23" s="149">
        <v>1658581</v>
      </c>
      <c r="E23" s="159" t="s">
        <v>171</v>
      </c>
      <c r="F23" s="159">
        <v>0</v>
      </c>
      <c r="G23" s="159">
        <v>1</v>
      </c>
      <c r="H23" s="165">
        <v>2</v>
      </c>
      <c r="I23" s="222">
        <v>2</v>
      </c>
      <c r="J23" s="165">
        <v>1</v>
      </c>
      <c r="K23" s="165">
        <v>2</v>
      </c>
      <c r="L23" s="165">
        <v>2</v>
      </c>
      <c r="M23" s="165"/>
      <c r="N23" s="165"/>
      <c r="O23" s="165"/>
      <c r="P23" s="165">
        <v>2</v>
      </c>
      <c r="Q23" s="165"/>
      <c r="R23" s="165"/>
      <c r="S23" s="165"/>
      <c r="T23" s="165" t="s">
        <v>539</v>
      </c>
      <c r="U23" s="165">
        <v>0</v>
      </c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</row>
    <row r="24" spans="3:32" x14ac:dyDescent="0.25">
      <c r="C24" s="157" t="s">
        <v>192</v>
      </c>
      <c r="D24" s="160">
        <v>5425370</v>
      </c>
      <c r="E24" s="158" t="s">
        <v>171</v>
      </c>
      <c r="F24" s="159">
        <v>0</v>
      </c>
      <c r="G24" s="159">
        <v>1</v>
      </c>
      <c r="H24">
        <v>2</v>
      </c>
      <c r="M24">
        <v>2</v>
      </c>
      <c r="O24">
        <v>2</v>
      </c>
      <c r="T24" t="s">
        <v>193</v>
      </c>
      <c r="U24">
        <v>0</v>
      </c>
    </row>
    <row r="25" spans="3:32" x14ac:dyDescent="0.25">
      <c r="C25" s="148" t="s">
        <v>252</v>
      </c>
      <c r="D25" s="149">
        <v>1743204</v>
      </c>
      <c r="E25" s="159" t="s">
        <v>242</v>
      </c>
      <c r="F25" s="159">
        <v>0</v>
      </c>
      <c r="G25" s="159">
        <v>1</v>
      </c>
      <c r="H25">
        <v>2</v>
      </c>
      <c r="I25" s="17"/>
      <c r="M25">
        <v>2</v>
      </c>
      <c r="Q25">
        <v>1</v>
      </c>
      <c r="U25">
        <v>0</v>
      </c>
    </row>
    <row r="26" spans="3:32" x14ac:dyDescent="0.25">
      <c r="C26" s="153" t="s">
        <v>233</v>
      </c>
      <c r="D26" s="161">
        <v>6124037</v>
      </c>
      <c r="E26" s="164" t="s">
        <v>171</v>
      </c>
      <c r="F26" s="159">
        <v>0</v>
      </c>
      <c r="G26" s="159">
        <v>1</v>
      </c>
      <c r="H26" s="151">
        <v>2</v>
      </c>
      <c r="I26" s="151">
        <v>2</v>
      </c>
      <c r="J26" s="151">
        <v>2</v>
      </c>
      <c r="K26" s="151"/>
      <c r="L26" s="151">
        <v>2</v>
      </c>
      <c r="M26" s="151"/>
      <c r="N26" s="151"/>
      <c r="O26" s="151"/>
      <c r="P26" s="151">
        <v>2</v>
      </c>
      <c r="Q26" s="151"/>
      <c r="R26" s="151"/>
      <c r="S26" s="151"/>
      <c r="T26" s="151" t="s">
        <v>527</v>
      </c>
      <c r="U26" s="151">
        <v>2</v>
      </c>
      <c r="V26" s="151"/>
      <c r="W26" s="151"/>
      <c r="X26" s="151"/>
      <c r="Y26" s="151"/>
      <c r="Z26" s="151">
        <v>2</v>
      </c>
      <c r="AA26" s="151"/>
      <c r="AB26" s="151">
        <v>2</v>
      </c>
      <c r="AC26" s="151" t="s">
        <v>541</v>
      </c>
      <c r="AD26" s="151"/>
      <c r="AE26" s="151"/>
    </row>
    <row r="27" spans="3:32" x14ac:dyDescent="0.25">
      <c r="C27" s="182" t="s">
        <v>96</v>
      </c>
      <c r="D27" s="167">
        <v>4270218</v>
      </c>
      <c r="E27" s="159" t="s">
        <v>65</v>
      </c>
      <c r="F27" s="10">
        <v>0</v>
      </c>
      <c r="G27" s="10">
        <v>1</v>
      </c>
      <c r="H27" s="10">
        <v>1</v>
      </c>
      <c r="I27" s="8"/>
      <c r="J27" s="10"/>
      <c r="K27" s="10">
        <v>1</v>
      </c>
      <c r="L27" s="10"/>
      <c r="M27" s="10"/>
      <c r="N27" s="10"/>
      <c r="O27" s="10">
        <v>1</v>
      </c>
      <c r="P27" s="10"/>
      <c r="Q27" s="10">
        <v>1</v>
      </c>
      <c r="R27" s="10"/>
      <c r="S27" s="10"/>
      <c r="T27" s="10"/>
      <c r="U27" s="10">
        <v>0</v>
      </c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</row>
    <row r="28" spans="3:32" x14ac:dyDescent="0.25">
      <c r="C28" s="192" t="s">
        <v>146</v>
      </c>
      <c r="D28" s="203" t="s">
        <v>147</v>
      </c>
      <c r="E28" s="10" t="s">
        <v>148</v>
      </c>
      <c r="F28" s="10">
        <v>0</v>
      </c>
      <c r="G28" s="10">
        <v>1</v>
      </c>
      <c r="H28" s="10">
        <v>0</v>
      </c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/>
      <c r="AD28" s="10"/>
      <c r="AE28" s="10">
        <v>0</v>
      </c>
      <c r="AF28" s="10"/>
    </row>
    <row r="29" spans="3:32" x14ac:dyDescent="0.25">
      <c r="C29" s="148" t="s">
        <v>177</v>
      </c>
      <c r="D29" s="149">
        <v>2024736</v>
      </c>
      <c r="E29" s="159" t="s">
        <v>171</v>
      </c>
      <c r="F29" s="159">
        <v>0</v>
      </c>
      <c r="G29" s="169">
        <v>1</v>
      </c>
      <c r="H29">
        <v>1</v>
      </c>
      <c r="I29" s="17"/>
      <c r="K29">
        <v>1</v>
      </c>
      <c r="O29">
        <v>1</v>
      </c>
      <c r="U29">
        <v>0</v>
      </c>
    </row>
    <row r="30" spans="3:32" x14ac:dyDescent="0.25">
      <c r="C30" s="148" t="s">
        <v>244</v>
      </c>
      <c r="D30" s="149">
        <v>2363434</v>
      </c>
      <c r="E30" s="179" t="s">
        <v>242</v>
      </c>
      <c r="F30" s="159">
        <v>0</v>
      </c>
      <c r="G30" s="179">
        <v>1</v>
      </c>
      <c r="H30">
        <v>2</v>
      </c>
      <c r="L30">
        <v>2</v>
      </c>
      <c r="O30">
        <v>2</v>
      </c>
      <c r="U30">
        <v>0</v>
      </c>
    </row>
    <row r="31" spans="3:32" x14ac:dyDescent="0.25">
      <c r="C31" s="169" t="s">
        <v>38</v>
      </c>
      <c r="D31" s="169">
        <v>445884</v>
      </c>
      <c r="E31" s="169" t="s">
        <v>32</v>
      </c>
      <c r="F31" s="10">
        <v>0</v>
      </c>
      <c r="G31" s="10">
        <v>1</v>
      </c>
      <c r="H31" s="10">
        <v>1</v>
      </c>
      <c r="I31" s="10"/>
      <c r="J31" s="10"/>
      <c r="K31" s="10">
        <v>1</v>
      </c>
      <c r="L31" s="10"/>
      <c r="M31" s="10"/>
      <c r="N31" s="10"/>
      <c r="O31" s="10">
        <v>1</v>
      </c>
      <c r="P31" s="10"/>
      <c r="Q31" s="10"/>
      <c r="R31" s="10"/>
      <c r="S31" s="10"/>
      <c r="T31" s="10" t="s">
        <v>546</v>
      </c>
      <c r="U31" s="10">
        <v>1</v>
      </c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/>
    </row>
    <row r="32" spans="3:32" x14ac:dyDescent="0.25">
      <c r="C32" s="162" t="s">
        <v>269</v>
      </c>
      <c r="D32" s="163">
        <v>6150830</v>
      </c>
      <c r="E32" s="178" t="s">
        <v>242</v>
      </c>
      <c r="F32" s="159">
        <v>0</v>
      </c>
      <c r="G32" s="159">
        <v>1</v>
      </c>
      <c r="H32" s="178">
        <v>2</v>
      </c>
      <c r="I32" s="150"/>
      <c r="J32" s="150"/>
      <c r="K32" s="150">
        <v>2</v>
      </c>
      <c r="L32" s="150"/>
      <c r="M32" s="150">
        <v>2</v>
      </c>
      <c r="N32" s="150"/>
      <c r="O32" s="150"/>
      <c r="P32" s="150"/>
      <c r="Q32" s="150">
        <v>1</v>
      </c>
      <c r="R32" s="150"/>
      <c r="S32" s="150"/>
      <c r="T32" s="150"/>
      <c r="U32" s="150">
        <v>0</v>
      </c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</row>
    <row r="33" spans="3:32" x14ac:dyDescent="0.25">
      <c r="C33" s="153" t="s">
        <v>287</v>
      </c>
      <c r="D33" s="164">
        <v>2581772</v>
      </c>
      <c r="E33" s="164" t="s">
        <v>242</v>
      </c>
      <c r="F33" s="159">
        <v>0</v>
      </c>
      <c r="G33" s="159">
        <v>1</v>
      </c>
      <c r="H33" s="151">
        <v>0</v>
      </c>
      <c r="I33" s="180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>
        <v>1</v>
      </c>
      <c r="V33" s="151"/>
      <c r="W33" s="151"/>
      <c r="X33" s="151">
        <v>1</v>
      </c>
      <c r="Y33" s="151"/>
      <c r="Z33" s="151"/>
      <c r="AA33" s="151"/>
      <c r="AB33" s="151"/>
      <c r="AC33" s="151"/>
      <c r="AD33" s="151"/>
      <c r="AE33" s="151"/>
    </row>
    <row r="34" spans="3:32" x14ac:dyDescent="0.25">
      <c r="C34" s="148" t="s">
        <v>250</v>
      </c>
      <c r="D34" s="149">
        <v>5027608</v>
      </c>
      <c r="E34" s="159" t="s">
        <v>242</v>
      </c>
      <c r="F34" s="159">
        <v>0</v>
      </c>
      <c r="G34" s="159">
        <v>1</v>
      </c>
      <c r="H34">
        <v>1</v>
      </c>
      <c r="K34">
        <v>1</v>
      </c>
      <c r="U34">
        <v>0</v>
      </c>
    </row>
    <row r="35" spans="3:32" x14ac:dyDescent="0.25">
      <c r="C35" s="93" t="s">
        <v>168</v>
      </c>
      <c r="D35" s="200">
        <v>6666857</v>
      </c>
      <c r="E35" s="10" t="s">
        <v>148</v>
      </c>
      <c r="F35" s="10">
        <v>0</v>
      </c>
      <c r="G35" s="10">
        <v>1</v>
      </c>
      <c r="H35" s="10">
        <v>1</v>
      </c>
      <c r="I35" s="8"/>
      <c r="J35" s="10"/>
      <c r="K35" s="10">
        <v>1</v>
      </c>
      <c r="L35" s="10">
        <v>1</v>
      </c>
      <c r="M35" s="10"/>
      <c r="N35" s="10"/>
      <c r="O35" s="10">
        <v>1</v>
      </c>
      <c r="P35" s="10"/>
      <c r="Q35" s="10">
        <v>1</v>
      </c>
      <c r="R35" s="10"/>
      <c r="S35" s="10"/>
      <c r="T35" s="10"/>
      <c r="U35" s="10">
        <v>1</v>
      </c>
      <c r="V35" s="10">
        <v>0</v>
      </c>
      <c r="W35" s="10">
        <v>0</v>
      </c>
      <c r="X35" s="10">
        <v>1</v>
      </c>
      <c r="Y35" s="10">
        <v>0</v>
      </c>
      <c r="Z35" s="10">
        <v>0</v>
      </c>
      <c r="AA35" s="10">
        <v>0</v>
      </c>
      <c r="AB35" s="10">
        <v>0</v>
      </c>
      <c r="AC35" s="10"/>
      <c r="AD35" s="10"/>
      <c r="AE35" s="10">
        <v>2</v>
      </c>
      <c r="AF35" s="10"/>
    </row>
    <row r="36" spans="3:32" x14ac:dyDescent="0.25">
      <c r="C36" s="151" t="s">
        <v>58</v>
      </c>
      <c r="D36" s="183">
        <v>6587602</v>
      </c>
      <c r="E36" s="159" t="s">
        <v>32</v>
      </c>
      <c r="F36" s="10">
        <v>0</v>
      </c>
      <c r="G36" s="10">
        <v>1</v>
      </c>
      <c r="H36" s="10">
        <v>1</v>
      </c>
      <c r="I36" s="8"/>
      <c r="J36" s="10"/>
      <c r="K36" s="10">
        <v>1</v>
      </c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>
        <v>0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3:32" x14ac:dyDescent="0.25">
      <c r="C37" s="148" t="s">
        <v>255</v>
      </c>
      <c r="D37" s="149">
        <v>4195624</v>
      </c>
      <c r="E37" s="159" t="s">
        <v>242</v>
      </c>
      <c r="F37" s="159">
        <v>0</v>
      </c>
      <c r="G37" s="159">
        <v>1</v>
      </c>
      <c r="H37">
        <v>0</v>
      </c>
      <c r="U37">
        <v>0</v>
      </c>
    </row>
    <row r="38" spans="3:32" x14ac:dyDescent="0.25">
      <c r="C38" s="165" t="s">
        <v>210</v>
      </c>
      <c r="D38" s="156">
        <v>4618189</v>
      </c>
      <c r="E38" t="s">
        <v>171</v>
      </c>
      <c r="F38" s="159">
        <v>0</v>
      </c>
      <c r="G38" s="159">
        <v>1</v>
      </c>
      <c r="H38">
        <v>2</v>
      </c>
      <c r="I38" s="17"/>
      <c r="K38">
        <v>2</v>
      </c>
      <c r="U38">
        <v>3</v>
      </c>
      <c r="Z38">
        <v>2</v>
      </c>
      <c r="AA38">
        <v>3</v>
      </c>
      <c r="AC38" t="s">
        <v>538</v>
      </c>
    </row>
    <row r="39" spans="3:32" x14ac:dyDescent="0.25">
      <c r="C39" s="157" t="s">
        <v>51</v>
      </c>
      <c r="D39" s="183">
        <v>4366069</v>
      </c>
      <c r="E39" s="159" t="s">
        <v>32</v>
      </c>
      <c r="F39" s="13">
        <v>1</v>
      </c>
      <c r="G39" s="13">
        <v>1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3:32" x14ac:dyDescent="0.25">
      <c r="C40" s="90" t="s">
        <v>156</v>
      </c>
      <c r="D40" s="198" t="s">
        <v>157</v>
      </c>
      <c r="E40" s="10" t="s">
        <v>148</v>
      </c>
      <c r="F40" s="10">
        <v>0</v>
      </c>
      <c r="G40" s="10">
        <v>1</v>
      </c>
      <c r="H40" s="10">
        <v>0</v>
      </c>
      <c r="I40" s="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/>
      <c r="AD40" s="10">
        <v>0</v>
      </c>
      <c r="AE40" s="10">
        <v>0</v>
      </c>
      <c r="AF40" s="10"/>
    </row>
    <row r="41" spans="3:32" x14ac:dyDescent="0.25">
      <c r="C41" s="148" t="s">
        <v>260</v>
      </c>
      <c r="D41" s="149">
        <v>6384553</v>
      </c>
      <c r="E41" s="159" t="s">
        <v>242</v>
      </c>
      <c r="F41" s="159">
        <v>0</v>
      </c>
      <c r="G41" s="159">
        <v>1</v>
      </c>
      <c r="H41">
        <v>0</v>
      </c>
      <c r="U41">
        <v>0</v>
      </c>
    </row>
    <row r="42" spans="3:32" x14ac:dyDescent="0.25">
      <c r="C42" s="151" t="s">
        <v>119</v>
      </c>
      <c r="D42" s="167">
        <v>4784733</v>
      </c>
      <c r="E42" s="159" t="s">
        <v>65</v>
      </c>
      <c r="F42" s="13">
        <v>1</v>
      </c>
      <c r="G42" s="13">
        <v>1</v>
      </c>
      <c r="H42" s="13"/>
      <c r="I42" s="14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3:32" x14ac:dyDescent="0.25">
      <c r="C43" s="90" t="s">
        <v>154</v>
      </c>
      <c r="D43" s="198" t="s">
        <v>155</v>
      </c>
      <c r="E43" s="10" t="s">
        <v>148</v>
      </c>
      <c r="F43" s="10">
        <v>0</v>
      </c>
      <c r="G43" s="10">
        <v>1</v>
      </c>
      <c r="H43" s="10">
        <v>1</v>
      </c>
      <c r="I43" s="8"/>
      <c r="J43" s="10"/>
      <c r="K43" s="10">
        <v>1</v>
      </c>
      <c r="L43" s="10"/>
      <c r="M43" s="10">
        <v>1</v>
      </c>
      <c r="N43" s="10"/>
      <c r="O43" s="10">
        <v>1</v>
      </c>
      <c r="P43" s="10"/>
      <c r="Q43" s="10">
        <v>1</v>
      </c>
      <c r="R43" s="10"/>
      <c r="S43" s="10"/>
      <c r="T43" s="10"/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/>
      <c r="AD43" s="10">
        <v>1</v>
      </c>
      <c r="AE43" s="10">
        <v>2</v>
      </c>
      <c r="AF43" s="10"/>
    </row>
    <row r="44" spans="3:32" x14ac:dyDescent="0.25">
      <c r="C44" s="153" t="s">
        <v>226</v>
      </c>
      <c r="D44" s="154">
        <v>5431737</v>
      </c>
      <c r="E44" s="164" t="s">
        <v>171</v>
      </c>
      <c r="F44" s="159">
        <v>0</v>
      </c>
      <c r="G44" s="159">
        <v>1</v>
      </c>
      <c r="H44" s="151">
        <v>0</v>
      </c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>
        <v>0</v>
      </c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</row>
    <row r="45" spans="3:32" x14ac:dyDescent="0.25">
      <c r="C45" s="159" t="s">
        <v>190</v>
      </c>
      <c r="D45" s="149">
        <v>2250030</v>
      </c>
      <c r="E45" s="159" t="s">
        <v>171</v>
      </c>
      <c r="F45" s="159">
        <v>0</v>
      </c>
      <c r="G45" s="159">
        <v>1</v>
      </c>
      <c r="H45">
        <v>2</v>
      </c>
      <c r="M45">
        <v>2</v>
      </c>
      <c r="O45">
        <v>2</v>
      </c>
      <c r="T45" t="s">
        <v>193</v>
      </c>
      <c r="U45">
        <v>0</v>
      </c>
    </row>
    <row r="46" spans="3:32" x14ac:dyDescent="0.25">
      <c r="C46" s="148" t="s">
        <v>254</v>
      </c>
      <c r="D46" s="149">
        <v>4178252</v>
      </c>
      <c r="E46" s="159" t="s">
        <v>242</v>
      </c>
      <c r="F46" s="159">
        <v>1</v>
      </c>
      <c r="G46" s="159">
        <v>1</v>
      </c>
      <c r="H46" t="s">
        <v>172</v>
      </c>
      <c r="I46" s="17"/>
    </row>
    <row r="47" spans="3:32" x14ac:dyDescent="0.25">
      <c r="C47" s="148" t="s">
        <v>42</v>
      </c>
      <c r="D47" s="159">
        <v>2162352</v>
      </c>
      <c r="E47" s="159" t="s">
        <v>32</v>
      </c>
      <c r="F47" s="13">
        <v>1</v>
      </c>
      <c r="G47" s="13">
        <v>1</v>
      </c>
      <c r="H47" s="13"/>
      <c r="I47" s="1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3:32" x14ac:dyDescent="0.25">
      <c r="C48" t="s">
        <v>298</v>
      </c>
      <c r="D48" s="166">
        <v>6523086</v>
      </c>
      <c r="E48" s="149" t="s">
        <v>242</v>
      </c>
      <c r="F48" s="159">
        <v>0</v>
      </c>
      <c r="G48" s="159">
        <v>1</v>
      </c>
      <c r="H48" s="151">
        <v>0</v>
      </c>
      <c r="I48" s="17"/>
      <c r="U48" s="151">
        <v>0</v>
      </c>
    </row>
    <row r="49" spans="3:31" x14ac:dyDescent="0.25">
      <c r="C49" s="148" t="s">
        <v>185</v>
      </c>
      <c r="D49" s="149">
        <v>2071874</v>
      </c>
      <c r="E49" s="159" t="s">
        <v>171</v>
      </c>
      <c r="F49" s="159">
        <v>1</v>
      </c>
      <c r="G49" s="159">
        <v>1</v>
      </c>
      <c r="H49" t="s">
        <v>172</v>
      </c>
      <c r="I49" s="17"/>
    </row>
    <row r="50" spans="3:31" x14ac:dyDescent="0.25">
      <c r="C50" s="221" t="s">
        <v>87</v>
      </c>
      <c r="D50" s="167">
        <v>5334891</v>
      </c>
      <c r="E50" s="159" t="s">
        <v>65</v>
      </c>
      <c r="F50" s="10">
        <v>0</v>
      </c>
      <c r="G50" s="10">
        <v>1</v>
      </c>
      <c r="H50" s="10">
        <v>1</v>
      </c>
      <c r="I50" s="8"/>
      <c r="J50" s="10"/>
      <c r="K50" s="10"/>
      <c r="L50" s="10">
        <v>1</v>
      </c>
      <c r="M50" s="10"/>
      <c r="N50" s="10"/>
      <c r="O50" s="10"/>
      <c r="P50" s="10">
        <v>1</v>
      </c>
      <c r="Q50" s="10"/>
      <c r="R50" s="10"/>
      <c r="S50" s="10"/>
      <c r="T50" s="10"/>
      <c r="U50" s="10">
        <v>0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3:31" x14ac:dyDescent="0.25">
      <c r="C51" s="153" t="s">
        <v>106</v>
      </c>
      <c r="D51" s="164">
        <v>4146544</v>
      </c>
      <c r="E51" s="159" t="s">
        <v>65</v>
      </c>
      <c r="F51" s="10">
        <v>0</v>
      </c>
      <c r="G51" s="10">
        <v>1</v>
      </c>
      <c r="H51" s="10">
        <v>0</v>
      </c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>
        <v>0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3:31" x14ac:dyDescent="0.25">
      <c r="C52" s="158" t="s">
        <v>265</v>
      </c>
      <c r="D52" s="160">
        <v>2664848</v>
      </c>
      <c r="E52" s="158" t="s">
        <v>242</v>
      </c>
      <c r="F52" s="159">
        <v>0</v>
      </c>
      <c r="G52" s="159">
        <v>1</v>
      </c>
      <c r="H52">
        <v>0</v>
      </c>
      <c r="U52">
        <v>0</v>
      </c>
    </row>
    <row r="53" spans="3:31" x14ac:dyDescent="0.25">
      <c r="C53" s="151" t="s">
        <v>63</v>
      </c>
      <c r="D53" s="167">
        <v>5395575</v>
      </c>
      <c r="E53" s="159" t="s">
        <v>40</v>
      </c>
      <c r="F53" s="10">
        <v>0</v>
      </c>
      <c r="G53" s="10">
        <v>1</v>
      </c>
      <c r="H53" s="10">
        <v>1</v>
      </c>
      <c r="I53" s="8"/>
      <c r="J53" s="10"/>
      <c r="K53" s="10">
        <v>1</v>
      </c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>
        <v>0</v>
      </c>
      <c r="V53" s="10"/>
      <c r="W53" s="10"/>
      <c r="X53" s="10"/>
      <c r="Y53" s="10"/>
      <c r="Z53" s="10"/>
      <c r="AA53" s="10"/>
      <c r="AB53" s="10"/>
      <c r="AC53" s="10"/>
      <c r="AD53" s="10"/>
      <c r="AE53" s="10">
        <v>2</v>
      </c>
    </row>
    <row r="54" spans="3:31" x14ac:dyDescent="0.25">
      <c r="C54" s="153" t="s">
        <v>124</v>
      </c>
      <c r="D54" s="164">
        <v>4527386</v>
      </c>
      <c r="E54" s="159" t="s">
        <v>65</v>
      </c>
      <c r="F54" s="10">
        <v>0</v>
      </c>
      <c r="G54" s="10">
        <v>1</v>
      </c>
      <c r="H54" s="10">
        <v>1</v>
      </c>
      <c r="I54" s="8"/>
      <c r="J54" s="10"/>
      <c r="K54" s="10">
        <v>1</v>
      </c>
      <c r="L54" s="10"/>
      <c r="M54" s="10"/>
      <c r="N54" s="10"/>
      <c r="O54" s="10">
        <v>1</v>
      </c>
      <c r="P54" s="10"/>
      <c r="Q54" s="10"/>
      <c r="R54" s="10"/>
      <c r="S54" s="10"/>
      <c r="T54" s="10"/>
      <c r="U54" s="10">
        <v>0</v>
      </c>
      <c r="V54" s="10"/>
      <c r="W54" s="10"/>
      <c r="X54" s="10"/>
      <c r="Y54" s="10"/>
      <c r="Z54" s="10"/>
      <c r="AA54" s="10"/>
      <c r="AB54" s="10"/>
      <c r="AC54" s="10"/>
      <c r="AD54" s="10"/>
      <c r="AE54" s="10">
        <v>2</v>
      </c>
    </row>
    <row r="55" spans="3:31" x14ac:dyDescent="0.25">
      <c r="C55" s="164" t="s">
        <v>39</v>
      </c>
      <c r="D55" s="164">
        <v>4851478</v>
      </c>
      <c r="E55" s="159" t="s">
        <v>40</v>
      </c>
      <c r="F55" s="10">
        <v>0</v>
      </c>
      <c r="G55" s="10">
        <v>1</v>
      </c>
      <c r="H55" s="10">
        <v>1</v>
      </c>
      <c r="I55" s="8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>
        <v>0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3:31" x14ac:dyDescent="0.25">
      <c r="C56" s="153" t="s">
        <v>105</v>
      </c>
      <c r="D56" s="164">
        <v>6600811</v>
      </c>
      <c r="E56" s="159" t="s">
        <v>65</v>
      </c>
      <c r="F56" s="10">
        <v>0</v>
      </c>
      <c r="G56" s="10">
        <v>1</v>
      </c>
      <c r="H56" s="10">
        <v>0</v>
      </c>
      <c r="I56" s="8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0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3:31" x14ac:dyDescent="0.25">
      <c r="C57" s="151" t="s">
        <v>135</v>
      </c>
      <c r="D57" s="167">
        <v>1535492</v>
      </c>
      <c r="E57" s="159" t="s">
        <v>65</v>
      </c>
      <c r="F57" s="10">
        <v>0</v>
      </c>
      <c r="G57" s="10">
        <v>1</v>
      </c>
      <c r="H57" s="10">
        <v>1</v>
      </c>
      <c r="I57" s="8"/>
      <c r="J57" s="10"/>
      <c r="K57" s="10">
        <v>1</v>
      </c>
      <c r="L57" s="10"/>
      <c r="M57" s="10"/>
      <c r="N57" s="10"/>
      <c r="O57" s="10"/>
      <c r="P57" s="10"/>
      <c r="Q57" s="10">
        <v>1</v>
      </c>
      <c r="R57" s="10"/>
      <c r="S57" s="10"/>
      <c r="T57" s="10"/>
      <c r="U57" s="10">
        <v>0</v>
      </c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</row>
    <row r="58" spans="3:31" x14ac:dyDescent="0.25">
      <c r="C58" s="153" t="s">
        <v>132</v>
      </c>
      <c r="D58" s="164">
        <v>4765561</v>
      </c>
      <c r="E58" s="159" t="s">
        <v>65</v>
      </c>
      <c r="F58" s="10">
        <v>0</v>
      </c>
      <c r="G58" s="10">
        <v>1</v>
      </c>
      <c r="H58" s="10">
        <v>1</v>
      </c>
      <c r="I58" s="8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>
        <v>0</v>
      </c>
      <c r="V58" s="10"/>
      <c r="W58" s="10"/>
      <c r="X58" s="10"/>
      <c r="Y58" s="10"/>
      <c r="Z58" s="10"/>
      <c r="AA58" s="10"/>
      <c r="AB58" s="10"/>
      <c r="AC58" s="10"/>
      <c r="AD58" s="10"/>
      <c r="AE58" s="10">
        <v>2</v>
      </c>
    </row>
    <row r="59" spans="3:31" x14ac:dyDescent="0.25">
      <c r="C59" s="151" t="s">
        <v>297</v>
      </c>
      <c r="D59" s="167">
        <v>872301</v>
      </c>
      <c r="E59" s="164" t="s">
        <v>242</v>
      </c>
      <c r="F59" s="164">
        <v>0</v>
      </c>
      <c r="G59" s="159">
        <v>1</v>
      </c>
      <c r="H59" s="180">
        <v>0</v>
      </c>
      <c r="I59" s="17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>
        <v>0</v>
      </c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</row>
    <row r="60" spans="3:31" x14ac:dyDescent="0.25">
      <c r="C60" s="153" t="s">
        <v>136</v>
      </c>
      <c r="D60" s="164">
        <v>6430663</v>
      </c>
      <c r="E60" s="159" t="s">
        <v>65</v>
      </c>
      <c r="F60" s="10">
        <v>0</v>
      </c>
      <c r="G60" s="10">
        <v>1</v>
      </c>
      <c r="H60" s="10">
        <v>0</v>
      </c>
      <c r="I60" s="8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>
        <v>0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3:31" x14ac:dyDescent="0.25">
      <c r="C61" s="184" t="s">
        <v>55</v>
      </c>
      <c r="D61" s="164">
        <v>2803028</v>
      </c>
      <c r="E61" s="159" t="s">
        <v>40</v>
      </c>
      <c r="F61" s="10">
        <v>0</v>
      </c>
      <c r="G61" s="10">
        <v>1</v>
      </c>
      <c r="H61" s="10">
        <v>0</v>
      </c>
      <c r="I61" s="8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>
        <v>1</v>
      </c>
      <c r="V61" s="10"/>
      <c r="W61" s="10"/>
      <c r="X61" s="10">
        <v>1</v>
      </c>
      <c r="Y61" s="10"/>
      <c r="Z61" s="10"/>
      <c r="AA61" s="10"/>
      <c r="AB61" s="10"/>
      <c r="AC61" s="10"/>
      <c r="AD61" s="10"/>
      <c r="AE61" s="10">
        <v>1</v>
      </c>
    </row>
    <row r="62" spans="3:31" x14ac:dyDescent="0.25">
      <c r="C62" s="150" t="s">
        <v>272</v>
      </c>
      <c r="D62" s="149">
        <v>5836728</v>
      </c>
      <c r="E62" s="178" t="s">
        <v>242</v>
      </c>
      <c r="F62" s="159">
        <v>0</v>
      </c>
      <c r="G62" s="159">
        <v>1</v>
      </c>
      <c r="H62" s="150">
        <v>1</v>
      </c>
      <c r="I62" s="150">
        <v>1</v>
      </c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 t="s">
        <v>544</v>
      </c>
      <c r="U62" s="150">
        <v>0</v>
      </c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</row>
    <row r="63" spans="3:31" x14ac:dyDescent="0.25">
      <c r="C63" s="185" t="s">
        <v>62</v>
      </c>
      <c r="D63" s="164">
        <v>4419787</v>
      </c>
      <c r="E63" s="159" t="s">
        <v>32</v>
      </c>
      <c r="F63" s="10">
        <v>0</v>
      </c>
      <c r="G63" s="10">
        <v>1</v>
      </c>
      <c r="H63" s="10">
        <v>0</v>
      </c>
      <c r="I63" s="8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>
        <v>0</v>
      </c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</row>
    <row r="64" spans="3:31" x14ac:dyDescent="0.25">
      <c r="C64" s="153" t="s">
        <v>77</v>
      </c>
      <c r="D64" s="164">
        <v>6428654</v>
      </c>
      <c r="E64" s="159" t="s">
        <v>65</v>
      </c>
      <c r="F64" s="10">
        <v>0</v>
      </c>
      <c r="G64" s="10">
        <v>1</v>
      </c>
      <c r="H64" s="10">
        <v>0</v>
      </c>
      <c r="I64" s="8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0</v>
      </c>
      <c r="V64" s="10"/>
      <c r="W64" s="10"/>
      <c r="X64" s="10"/>
      <c r="Y64" s="10"/>
      <c r="Z64" s="10"/>
      <c r="AA64" s="10"/>
      <c r="AB64" s="10"/>
      <c r="AC64" s="10"/>
      <c r="AD64" s="10"/>
      <c r="AE64" s="10">
        <v>1</v>
      </c>
    </row>
    <row r="65" spans="3:32" x14ac:dyDescent="0.25">
      <c r="C65" s="182" t="s">
        <v>95</v>
      </c>
      <c r="D65" s="167">
        <v>2307308</v>
      </c>
      <c r="E65" s="159" t="s">
        <v>65</v>
      </c>
      <c r="F65" s="13">
        <v>1</v>
      </c>
      <c r="G65" s="13">
        <v>1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3:32" x14ac:dyDescent="0.25">
      <c r="C66" s="151" t="s">
        <v>134</v>
      </c>
      <c r="D66" s="167">
        <v>6742386</v>
      </c>
      <c r="E66" s="159" t="s">
        <v>65</v>
      </c>
      <c r="F66" s="10">
        <v>0</v>
      </c>
      <c r="G66" s="10">
        <v>1</v>
      </c>
      <c r="H66" s="10">
        <v>0</v>
      </c>
      <c r="I66" s="8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0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3:32" x14ac:dyDescent="0.25">
      <c r="C67" s="153" t="s">
        <v>100</v>
      </c>
      <c r="D67" s="164">
        <v>1022690</v>
      </c>
      <c r="E67" s="159" t="s">
        <v>65</v>
      </c>
      <c r="F67" s="10">
        <v>0</v>
      </c>
      <c r="G67" s="10">
        <v>1</v>
      </c>
      <c r="H67" s="10">
        <v>1</v>
      </c>
      <c r="I67" s="8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>
        <v>0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3:32" x14ac:dyDescent="0.25">
      <c r="C68" s="157" t="s">
        <v>299</v>
      </c>
      <c r="D68" s="158">
        <v>3540097</v>
      </c>
      <c r="E68" s="158" t="s">
        <v>242</v>
      </c>
      <c r="F68" s="158">
        <v>0</v>
      </c>
      <c r="G68" s="159">
        <v>1</v>
      </c>
      <c r="H68" s="151">
        <v>0</v>
      </c>
      <c r="I68" s="17"/>
    </row>
    <row r="69" spans="3:32" x14ac:dyDescent="0.25">
      <c r="C69" s="151" t="s">
        <v>72</v>
      </c>
      <c r="D69" s="167">
        <v>4855890</v>
      </c>
      <c r="E69" s="159" t="s">
        <v>73</v>
      </c>
      <c r="F69" s="10">
        <v>0</v>
      </c>
      <c r="G69" s="10">
        <v>1</v>
      </c>
      <c r="H69" s="10">
        <v>1</v>
      </c>
      <c r="I69" s="8"/>
      <c r="J69" s="10"/>
      <c r="K69" s="10">
        <v>1</v>
      </c>
      <c r="L69" s="10"/>
      <c r="M69" s="10"/>
      <c r="N69" s="10"/>
      <c r="O69" s="10">
        <v>1</v>
      </c>
      <c r="P69" s="10"/>
      <c r="Q69" s="10">
        <v>1</v>
      </c>
      <c r="R69" s="10"/>
      <c r="S69" s="10"/>
      <c r="T69" s="10"/>
      <c r="U69" s="10">
        <v>0</v>
      </c>
      <c r="V69" s="10"/>
      <c r="W69" s="10"/>
      <c r="X69" s="10"/>
      <c r="Y69" s="10"/>
      <c r="Z69" s="10"/>
      <c r="AA69" s="10"/>
      <c r="AB69" s="10"/>
      <c r="AC69" s="10"/>
      <c r="AD69" s="10"/>
      <c r="AE69" s="10">
        <v>2</v>
      </c>
    </row>
    <row r="70" spans="3:32" x14ac:dyDescent="0.25">
      <c r="C70" s="153" t="s">
        <v>296</v>
      </c>
      <c r="D70" s="164">
        <v>6502699</v>
      </c>
      <c r="E70" s="164" t="s">
        <v>242</v>
      </c>
      <c r="F70" s="159">
        <v>0</v>
      </c>
      <c r="G70" s="159">
        <v>1</v>
      </c>
      <c r="H70" s="151">
        <v>0</v>
      </c>
      <c r="I70" s="180">
        <v>0</v>
      </c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>
        <v>0</v>
      </c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</row>
    <row r="71" spans="3:32" x14ac:dyDescent="0.25">
      <c r="C71" s="168" t="s">
        <v>270</v>
      </c>
      <c r="D71" s="169">
        <v>2447128</v>
      </c>
      <c r="E71" s="169" t="s">
        <v>242</v>
      </c>
      <c r="F71" s="159" t="s">
        <v>172</v>
      </c>
      <c r="G71" s="169">
        <v>0</v>
      </c>
      <c r="H71" s="168"/>
      <c r="I71" s="223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31"/>
    </row>
    <row r="72" spans="3:32" x14ac:dyDescent="0.25">
      <c r="C72" s="165" t="s">
        <v>273</v>
      </c>
      <c r="D72" s="170">
        <v>6232438</v>
      </c>
      <c r="E72" s="159" t="s">
        <v>242</v>
      </c>
      <c r="F72" s="159">
        <v>0</v>
      </c>
      <c r="G72" s="159">
        <v>1</v>
      </c>
      <c r="H72" s="165">
        <v>0</v>
      </c>
      <c r="I72" s="222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>
        <v>0</v>
      </c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</row>
    <row r="73" spans="3:32" x14ac:dyDescent="0.25">
      <c r="C73" s="153" t="s">
        <v>94</v>
      </c>
      <c r="D73" s="164">
        <v>1827901</v>
      </c>
      <c r="E73" s="159" t="s">
        <v>65</v>
      </c>
      <c r="F73" s="13">
        <v>1</v>
      </c>
      <c r="G73" s="13">
        <v>1</v>
      </c>
      <c r="H73" s="13"/>
      <c r="I73" s="1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spans="3:32" x14ac:dyDescent="0.25">
      <c r="C74" s="92" t="s">
        <v>165</v>
      </c>
      <c r="D74" s="198" t="s">
        <v>166</v>
      </c>
      <c r="E74" s="10" t="s">
        <v>148</v>
      </c>
      <c r="F74" s="10">
        <v>0</v>
      </c>
      <c r="G74" s="10">
        <v>1</v>
      </c>
      <c r="H74" s="10">
        <v>1</v>
      </c>
      <c r="I74" s="8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1</v>
      </c>
      <c r="AE74" s="10">
        <v>0</v>
      </c>
      <c r="AF74" s="10"/>
    </row>
    <row r="75" spans="3:32" x14ac:dyDescent="0.25">
      <c r="C75" s="148" t="s">
        <v>261</v>
      </c>
      <c r="D75" s="149">
        <v>5030650</v>
      </c>
      <c r="E75" s="159" t="s">
        <v>242</v>
      </c>
      <c r="F75" s="159">
        <v>0</v>
      </c>
      <c r="G75" s="159">
        <v>1</v>
      </c>
      <c r="H75">
        <v>1</v>
      </c>
      <c r="U75">
        <v>0</v>
      </c>
    </row>
    <row r="76" spans="3:32" x14ac:dyDescent="0.25">
      <c r="C76" s="153" t="s">
        <v>60</v>
      </c>
      <c r="D76" s="164">
        <v>6195907</v>
      </c>
      <c r="E76" s="159" t="s">
        <v>32</v>
      </c>
      <c r="F76" s="10">
        <v>0</v>
      </c>
      <c r="G76" s="10">
        <v>1</v>
      </c>
      <c r="H76" s="10">
        <v>1</v>
      </c>
      <c r="I76" s="8"/>
      <c r="J76" s="10"/>
      <c r="K76" s="10"/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>
        <v>0</v>
      </c>
      <c r="V76" s="10"/>
      <c r="W76" s="10"/>
      <c r="X76" s="10"/>
      <c r="Y76" s="10"/>
      <c r="Z76" s="10"/>
      <c r="AA76" s="10"/>
      <c r="AB76" s="10"/>
      <c r="AC76" s="10"/>
      <c r="AD76" s="10"/>
      <c r="AE76" s="10">
        <v>1</v>
      </c>
    </row>
    <row r="77" spans="3:32" x14ac:dyDescent="0.25">
      <c r="C77" s="148" t="s">
        <v>187</v>
      </c>
      <c r="D77" s="149">
        <v>5441069</v>
      </c>
      <c r="E77" s="159" t="s">
        <v>171</v>
      </c>
      <c r="F77" s="159">
        <v>0</v>
      </c>
      <c r="G77" s="159">
        <v>1</v>
      </c>
      <c r="H77">
        <v>0</v>
      </c>
      <c r="U77">
        <v>0</v>
      </c>
    </row>
    <row r="78" spans="3:32" x14ac:dyDescent="0.25">
      <c r="C78" s="151" t="s">
        <v>91</v>
      </c>
      <c r="D78" s="167">
        <v>5209809</v>
      </c>
      <c r="E78" s="159" t="s">
        <v>65</v>
      </c>
      <c r="F78" s="10">
        <v>0</v>
      </c>
      <c r="G78" s="10">
        <v>1</v>
      </c>
      <c r="H78" s="10">
        <v>0</v>
      </c>
      <c r="I78" s="8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0</v>
      </c>
      <c r="V78" s="10"/>
      <c r="W78" s="10"/>
      <c r="X78" s="10"/>
      <c r="Y78" s="10"/>
      <c r="Z78" s="10"/>
      <c r="AA78" s="10"/>
      <c r="AB78" s="10"/>
      <c r="AC78" s="10"/>
      <c r="AD78" s="10"/>
      <c r="AE78" s="10">
        <v>1</v>
      </c>
    </row>
    <row r="79" spans="3:32" x14ac:dyDescent="0.25">
      <c r="C79" s="153" t="s">
        <v>98</v>
      </c>
      <c r="D79" s="164">
        <v>5400588</v>
      </c>
      <c r="E79" s="159" t="s">
        <v>65</v>
      </c>
      <c r="F79" s="10">
        <v>0</v>
      </c>
      <c r="G79" s="10">
        <v>1</v>
      </c>
      <c r="H79" s="10">
        <v>1</v>
      </c>
      <c r="I79" s="8"/>
      <c r="J79" s="10"/>
      <c r="K79" s="10">
        <v>1</v>
      </c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>
        <v>0</v>
      </c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>
        <v>2</v>
      </c>
    </row>
    <row r="80" spans="3:32" x14ac:dyDescent="0.25">
      <c r="C80" s="159" t="s">
        <v>33</v>
      </c>
      <c r="D80" s="159">
        <v>1984126</v>
      </c>
      <c r="E80" s="159" t="s">
        <v>32</v>
      </c>
      <c r="F80" s="10">
        <v>0</v>
      </c>
      <c r="G80" s="10">
        <v>1</v>
      </c>
      <c r="H80" s="10">
        <v>0</v>
      </c>
      <c r="I80" s="8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3:32" x14ac:dyDescent="0.25">
      <c r="C81" s="153" t="s">
        <v>125</v>
      </c>
      <c r="D81" s="164">
        <v>4800599</v>
      </c>
      <c r="E81" s="159" t="s">
        <v>65</v>
      </c>
      <c r="F81" s="10">
        <v>0</v>
      </c>
      <c r="G81" s="10">
        <v>1</v>
      </c>
      <c r="H81" s="10">
        <v>0</v>
      </c>
      <c r="I81" s="8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0</v>
      </c>
      <c r="V81" s="10"/>
      <c r="W81" s="10"/>
      <c r="X81" s="10"/>
      <c r="Y81" s="10"/>
      <c r="Z81" s="10"/>
      <c r="AA81" s="10"/>
      <c r="AB81" s="10"/>
      <c r="AC81" s="10"/>
      <c r="AD81" s="10"/>
      <c r="AE81" s="10">
        <v>2</v>
      </c>
    </row>
    <row r="82" spans="3:32" x14ac:dyDescent="0.25">
      <c r="C82" s="151" t="s">
        <v>118</v>
      </c>
      <c r="D82" s="167">
        <v>3621453</v>
      </c>
      <c r="E82" s="159" t="s">
        <v>65</v>
      </c>
      <c r="F82" s="10">
        <v>0</v>
      </c>
      <c r="G82" s="10">
        <v>1</v>
      </c>
      <c r="H82" s="10">
        <v>1</v>
      </c>
      <c r="I82" s="8"/>
      <c r="J82" s="10"/>
      <c r="K82" s="10"/>
      <c r="L82" s="10"/>
      <c r="M82" s="10">
        <v>1</v>
      </c>
      <c r="N82" s="10"/>
      <c r="O82" s="10"/>
      <c r="P82" s="10"/>
      <c r="Q82" s="10"/>
      <c r="R82" s="10"/>
      <c r="S82" s="10"/>
      <c r="T82" s="10"/>
      <c r="U82" s="10">
        <v>0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3:32" x14ac:dyDescent="0.25">
      <c r="C83" s="153" t="s">
        <v>78</v>
      </c>
      <c r="D83" s="164">
        <v>5874563</v>
      </c>
      <c r="E83" s="159" t="s">
        <v>65</v>
      </c>
      <c r="F83" s="13">
        <v>1</v>
      </c>
      <c r="G83" s="13"/>
      <c r="H83" s="13"/>
      <c r="I83" s="1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3:32" x14ac:dyDescent="0.25">
      <c r="C84" s="153" t="s">
        <v>229</v>
      </c>
      <c r="D84" s="154">
        <v>400664</v>
      </c>
      <c r="E84" s="164" t="s">
        <v>171</v>
      </c>
      <c r="F84" s="164">
        <v>0</v>
      </c>
      <c r="G84" s="159">
        <v>1</v>
      </c>
      <c r="H84" s="151">
        <v>1</v>
      </c>
      <c r="I84" s="151"/>
      <c r="J84" s="151"/>
      <c r="K84" s="151"/>
      <c r="L84" s="151"/>
      <c r="M84" s="151"/>
      <c r="N84" s="151"/>
      <c r="O84" s="151">
        <v>1</v>
      </c>
      <c r="P84" s="151"/>
      <c r="Q84" s="151"/>
      <c r="R84" s="151"/>
      <c r="S84" s="151"/>
      <c r="T84" s="151"/>
      <c r="U84" s="151">
        <v>0</v>
      </c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</row>
    <row r="85" spans="3:32" x14ac:dyDescent="0.25">
      <c r="C85" s="153" t="s">
        <v>79</v>
      </c>
      <c r="D85" s="164">
        <v>2950188</v>
      </c>
      <c r="E85" s="159" t="s">
        <v>65</v>
      </c>
      <c r="F85" s="10">
        <v>0</v>
      </c>
      <c r="G85" s="10">
        <v>1</v>
      </c>
      <c r="H85" s="10">
        <v>1</v>
      </c>
      <c r="I85" s="8"/>
      <c r="J85" s="10"/>
      <c r="K85" s="10">
        <v>1</v>
      </c>
      <c r="L85" s="10"/>
      <c r="M85" s="10"/>
      <c r="N85" s="10"/>
      <c r="O85" s="10"/>
      <c r="P85" s="10"/>
      <c r="Q85" s="10">
        <v>1</v>
      </c>
      <c r="R85" s="10"/>
      <c r="S85" s="10"/>
      <c r="T85" s="10"/>
      <c r="U85" s="10">
        <v>0</v>
      </c>
      <c r="V85" s="10"/>
      <c r="W85" s="10"/>
      <c r="X85" s="10"/>
      <c r="Y85" s="10"/>
      <c r="Z85" s="10"/>
      <c r="AA85" s="10"/>
      <c r="AB85" s="10"/>
      <c r="AC85" s="10"/>
      <c r="AD85" s="10"/>
      <c r="AE85" s="10">
        <v>2</v>
      </c>
    </row>
    <row r="86" spans="3:32" x14ac:dyDescent="0.25">
      <c r="C86" s="153" t="s">
        <v>129</v>
      </c>
      <c r="D86" s="164">
        <v>1599183</v>
      </c>
      <c r="E86" s="159" t="s">
        <v>65</v>
      </c>
      <c r="F86" s="10">
        <v>0</v>
      </c>
      <c r="G86" s="10">
        <v>1</v>
      </c>
      <c r="H86" s="10">
        <v>1</v>
      </c>
      <c r="I86" s="8"/>
      <c r="J86" s="10"/>
      <c r="K86" s="10"/>
      <c r="L86" s="10">
        <v>1</v>
      </c>
      <c r="M86" s="10"/>
      <c r="N86" s="10"/>
      <c r="O86" s="10"/>
      <c r="P86" s="10"/>
      <c r="Q86" s="10"/>
      <c r="R86" s="10"/>
      <c r="S86" s="10"/>
      <c r="T86" s="10"/>
      <c r="U86" s="10">
        <v>1</v>
      </c>
      <c r="V86" s="10">
        <v>1</v>
      </c>
      <c r="W86" s="10"/>
      <c r="X86" s="10"/>
      <c r="Y86" s="10"/>
      <c r="Z86" s="10"/>
      <c r="AA86" s="10"/>
      <c r="AB86" s="10"/>
      <c r="AC86" s="10"/>
      <c r="AD86" s="10"/>
      <c r="AE86" s="10">
        <v>2</v>
      </c>
    </row>
    <row r="87" spans="3:32" x14ac:dyDescent="0.25">
      <c r="C87" s="192" t="s">
        <v>144</v>
      </c>
      <c r="D87" s="201" t="s">
        <v>145</v>
      </c>
      <c r="E87" s="10" t="s">
        <v>36</v>
      </c>
      <c r="F87" s="10">
        <v>0</v>
      </c>
      <c r="G87" s="10">
        <v>1</v>
      </c>
      <c r="H87" s="10">
        <v>1</v>
      </c>
      <c r="I87" s="8"/>
      <c r="J87" s="10"/>
      <c r="K87" s="10"/>
      <c r="L87" s="10">
        <v>1</v>
      </c>
      <c r="M87" s="10">
        <v>1</v>
      </c>
      <c r="N87" s="10"/>
      <c r="O87" s="10"/>
      <c r="P87" s="10"/>
      <c r="Q87" s="10"/>
      <c r="R87" s="10"/>
      <c r="S87" s="10"/>
      <c r="T87" s="10"/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/>
      <c r="AD87" s="10"/>
      <c r="AE87" s="10">
        <v>1</v>
      </c>
      <c r="AF87" s="10"/>
    </row>
    <row r="88" spans="3:32" x14ac:dyDescent="0.25">
      <c r="C88" s="153" t="s">
        <v>64</v>
      </c>
      <c r="D88" s="164">
        <v>6463964</v>
      </c>
      <c r="E88" s="159" t="s">
        <v>65</v>
      </c>
      <c r="F88" s="10">
        <v>0</v>
      </c>
      <c r="G88" s="10">
        <v>1</v>
      </c>
      <c r="H88" s="10">
        <v>1</v>
      </c>
      <c r="I88" s="8"/>
      <c r="J88" s="10"/>
      <c r="K88" s="10">
        <v>1</v>
      </c>
      <c r="L88" s="10"/>
      <c r="M88" s="10"/>
      <c r="N88" s="10"/>
      <c r="O88" s="10">
        <v>1</v>
      </c>
      <c r="P88" s="10"/>
      <c r="Q88" s="10"/>
      <c r="R88" s="10"/>
      <c r="S88" s="10"/>
      <c r="T88" s="10"/>
      <c r="U88" s="10">
        <v>0</v>
      </c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>
        <v>1</v>
      </c>
    </row>
    <row r="89" spans="3:32" x14ac:dyDescent="0.25">
      <c r="C89" s="153" t="s">
        <v>97</v>
      </c>
      <c r="D89" s="164">
        <v>1650342</v>
      </c>
      <c r="E89" s="159" t="s">
        <v>65</v>
      </c>
      <c r="F89" s="10">
        <v>0</v>
      </c>
      <c r="G89" s="10">
        <v>1</v>
      </c>
      <c r="H89" s="10">
        <v>1</v>
      </c>
      <c r="I89" s="8"/>
      <c r="J89" s="10"/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/>
      <c r="U89" s="10">
        <v>0</v>
      </c>
      <c r="V89" s="10"/>
      <c r="W89" s="10"/>
      <c r="X89" s="10"/>
      <c r="Y89" s="10"/>
      <c r="Z89" s="10"/>
      <c r="AA89" s="10"/>
      <c r="AB89" s="10"/>
      <c r="AC89" s="10"/>
      <c r="AD89" s="10">
        <v>1</v>
      </c>
      <c r="AE89" s="10">
        <v>2</v>
      </c>
    </row>
    <row r="90" spans="3:32" x14ac:dyDescent="0.25">
      <c r="C90" s="153" t="s">
        <v>76</v>
      </c>
      <c r="D90" s="164">
        <v>897445</v>
      </c>
      <c r="E90" s="159" t="s">
        <v>65</v>
      </c>
      <c r="F90" s="10">
        <v>0</v>
      </c>
      <c r="G90" s="10">
        <v>1</v>
      </c>
      <c r="H90" s="10">
        <v>1</v>
      </c>
      <c r="I90" s="8"/>
      <c r="J90" s="10"/>
      <c r="K90" s="10"/>
      <c r="L90" s="10">
        <v>1</v>
      </c>
      <c r="M90" s="10"/>
      <c r="N90" s="10"/>
      <c r="O90" s="10"/>
      <c r="P90" s="10"/>
      <c r="Q90" s="10">
        <v>1</v>
      </c>
      <c r="R90" s="10"/>
      <c r="S90" s="10"/>
      <c r="T90" s="10"/>
      <c r="U90" s="10">
        <v>1</v>
      </c>
      <c r="V90" s="10"/>
      <c r="W90" s="10"/>
      <c r="X90" s="10"/>
      <c r="Y90" s="10"/>
      <c r="Z90" s="10"/>
      <c r="AA90" s="10"/>
      <c r="AB90" s="10"/>
      <c r="AC90" s="10"/>
      <c r="AD90" s="10"/>
      <c r="AE90" s="10">
        <v>1</v>
      </c>
    </row>
    <row r="91" spans="3:32" x14ac:dyDescent="0.25">
      <c r="C91" s="151" t="s">
        <v>294</v>
      </c>
      <c r="D91" s="164">
        <v>363876</v>
      </c>
      <c r="E91" s="164" t="s">
        <v>242</v>
      </c>
      <c r="F91" s="158">
        <v>1</v>
      </c>
      <c r="G91" s="159">
        <v>1</v>
      </c>
      <c r="H91" t="s">
        <v>172</v>
      </c>
      <c r="I91" s="180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</row>
    <row r="92" spans="3:32" x14ac:dyDescent="0.25">
      <c r="C92" s="165" t="s">
        <v>271</v>
      </c>
      <c r="D92" s="159">
        <v>107002</v>
      </c>
      <c r="E92" t="s">
        <v>242</v>
      </c>
      <c r="F92" s="159">
        <v>0</v>
      </c>
      <c r="G92" s="159">
        <v>1</v>
      </c>
      <c r="H92">
        <v>0</v>
      </c>
      <c r="I92" s="17"/>
      <c r="U92">
        <v>0</v>
      </c>
    </row>
    <row r="93" spans="3:32" x14ac:dyDescent="0.25">
      <c r="C93" s="153" t="s">
        <v>109</v>
      </c>
      <c r="D93" s="164">
        <v>5174479</v>
      </c>
      <c r="E93" s="159" t="s">
        <v>65</v>
      </c>
      <c r="F93" s="10">
        <v>0</v>
      </c>
      <c r="G93" s="10">
        <v>1</v>
      </c>
      <c r="H93" s="10">
        <v>1</v>
      </c>
      <c r="I93" s="8"/>
      <c r="J93" s="10"/>
      <c r="K93" s="10">
        <v>1</v>
      </c>
      <c r="L93" s="10"/>
      <c r="M93" s="10"/>
      <c r="N93" s="10"/>
      <c r="O93" s="10"/>
      <c r="P93" s="10"/>
      <c r="Q93" s="10"/>
      <c r="R93" s="10"/>
      <c r="S93" s="10"/>
      <c r="T93" s="10"/>
      <c r="U93" s="10">
        <v>0</v>
      </c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</row>
    <row r="94" spans="3:32" x14ac:dyDescent="0.25">
      <c r="C94" s="153" t="s">
        <v>99</v>
      </c>
      <c r="D94" s="164">
        <v>3936017</v>
      </c>
      <c r="E94" s="159" t="s">
        <v>65</v>
      </c>
      <c r="F94" s="10">
        <v>0</v>
      </c>
      <c r="G94" s="10">
        <v>1</v>
      </c>
      <c r="H94" s="10">
        <v>1</v>
      </c>
      <c r="I94" s="8"/>
      <c r="J94" s="10"/>
      <c r="K94" s="10">
        <v>1</v>
      </c>
      <c r="L94" s="10"/>
      <c r="M94" s="10"/>
      <c r="N94" s="10"/>
      <c r="O94" s="10">
        <v>1</v>
      </c>
      <c r="P94" s="10"/>
      <c r="Q94" s="10">
        <v>1</v>
      </c>
      <c r="R94" s="10"/>
      <c r="S94" s="10"/>
      <c r="T94" s="10"/>
      <c r="U94" s="10">
        <v>0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3:32" x14ac:dyDescent="0.25">
      <c r="C95" s="148" t="s">
        <v>188</v>
      </c>
      <c r="D95" s="149">
        <v>3769948</v>
      </c>
      <c r="E95" s="159" t="s">
        <v>171</v>
      </c>
      <c r="F95" s="159">
        <v>0</v>
      </c>
      <c r="G95" s="159">
        <v>1</v>
      </c>
      <c r="H95">
        <v>0</v>
      </c>
      <c r="U95">
        <v>1</v>
      </c>
      <c r="Z95">
        <v>1</v>
      </c>
    </row>
    <row r="96" spans="3:32" ht="15.75" x14ac:dyDescent="0.25">
      <c r="C96" s="172" t="s">
        <v>189</v>
      </c>
      <c r="D96" s="149">
        <v>937504</v>
      </c>
      <c r="E96" s="159" t="s">
        <v>171</v>
      </c>
      <c r="F96" s="159">
        <v>1</v>
      </c>
      <c r="G96" s="169">
        <v>1</v>
      </c>
      <c r="H96" t="s">
        <v>172</v>
      </c>
      <c r="I96" s="17"/>
    </row>
    <row r="97" spans="3:32" x14ac:dyDescent="0.25">
      <c r="C97" s="157" t="s">
        <v>235</v>
      </c>
      <c r="D97" s="160">
        <v>3508326</v>
      </c>
      <c r="E97" s="158" t="s">
        <v>171</v>
      </c>
      <c r="F97" s="159">
        <v>0</v>
      </c>
      <c r="G97" s="159">
        <v>1</v>
      </c>
      <c r="H97" s="151">
        <v>2</v>
      </c>
      <c r="I97" s="17"/>
      <c r="K97">
        <v>1</v>
      </c>
      <c r="U97" s="151">
        <v>1</v>
      </c>
      <c r="X97">
        <v>1</v>
      </c>
      <c r="Z97">
        <v>1</v>
      </c>
    </row>
    <row r="98" spans="3:32" x14ac:dyDescent="0.25">
      <c r="C98" s="151" t="s">
        <v>93</v>
      </c>
      <c r="D98" s="167">
        <v>3654890</v>
      </c>
      <c r="E98" s="159" t="s">
        <v>65</v>
      </c>
      <c r="F98" s="10">
        <v>0</v>
      </c>
      <c r="G98" s="10">
        <v>1</v>
      </c>
      <c r="H98" s="10">
        <v>0</v>
      </c>
      <c r="I98" s="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>
        <v>0</v>
      </c>
      <c r="V98" s="10"/>
      <c r="W98" s="10"/>
      <c r="X98" s="10"/>
      <c r="Y98" s="10"/>
      <c r="Z98" s="10"/>
      <c r="AA98" s="10"/>
      <c r="AB98" s="10"/>
      <c r="AC98" s="10"/>
      <c r="AD98" s="10">
        <v>1</v>
      </c>
      <c r="AE98" s="10">
        <v>2</v>
      </c>
    </row>
    <row r="99" spans="3:32" x14ac:dyDescent="0.25">
      <c r="C99" s="153" t="s">
        <v>82</v>
      </c>
      <c r="D99" s="164">
        <v>5122359</v>
      </c>
      <c r="E99" s="159" t="s">
        <v>65</v>
      </c>
      <c r="F99" s="10">
        <v>0</v>
      </c>
      <c r="G99" s="10">
        <v>1</v>
      </c>
      <c r="H99" s="10">
        <v>0</v>
      </c>
      <c r="I99" s="8"/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/>
      <c r="U99" s="10">
        <v>0</v>
      </c>
      <c r="V99" s="10"/>
      <c r="W99" s="10"/>
      <c r="X99" s="10"/>
      <c r="Y99" s="10"/>
      <c r="Z99" s="10"/>
      <c r="AA99" s="10"/>
      <c r="AB99" s="10"/>
      <c r="AC99" s="10"/>
      <c r="AD99" s="10"/>
      <c r="AE99" s="10">
        <v>1</v>
      </c>
    </row>
    <row r="100" spans="3:32" x14ac:dyDescent="0.25">
      <c r="C100" s="153" t="s">
        <v>214</v>
      </c>
      <c r="D100" s="154">
        <v>824495</v>
      </c>
      <c r="E100" s="164" t="s">
        <v>171</v>
      </c>
      <c r="F100" s="159">
        <v>0</v>
      </c>
      <c r="G100" s="159">
        <v>1</v>
      </c>
      <c r="H100" s="151">
        <v>1</v>
      </c>
      <c r="I100" s="151"/>
      <c r="J100" s="151"/>
      <c r="K100" s="151">
        <v>1</v>
      </c>
      <c r="L100" s="151"/>
      <c r="M100" s="151">
        <v>1</v>
      </c>
      <c r="N100" s="151"/>
      <c r="O100" s="151">
        <v>1</v>
      </c>
      <c r="P100" s="151"/>
      <c r="Q100" s="151">
        <v>1</v>
      </c>
      <c r="R100" s="151"/>
      <c r="S100" s="151"/>
      <c r="T100" s="151"/>
      <c r="U100" s="151">
        <v>0</v>
      </c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</row>
    <row r="101" spans="3:32" x14ac:dyDescent="0.25">
      <c r="C101" s="150" t="s">
        <v>205</v>
      </c>
      <c r="D101" s="149">
        <v>6264080</v>
      </c>
      <c r="E101" s="150" t="s">
        <v>171</v>
      </c>
      <c r="F101" s="159">
        <v>0</v>
      </c>
      <c r="G101" s="159">
        <v>1</v>
      </c>
      <c r="H101" s="150">
        <v>1</v>
      </c>
      <c r="K101">
        <v>1</v>
      </c>
      <c r="U101">
        <v>0</v>
      </c>
    </row>
    <row r="102" spans="3:32" x14ac:dyDescent="0.25">
      <c r="C102" s="151" t="s">
        <v>131</v>
      </c>
      <c r="D102" s="167">
        <v>6756888</v>
      </c>
      <c r="E102" s="164" t="s">
        <v>65</v>
      </c>
      <c r="F102" s="10">
        <v>0</v>
      </c>
      <c r="G102" s="10">
        <v>1</v>
      </c>
      <c r="H102" s="10">
        <v>1</v>
      </c>
      <c r="I102" s="8"/>
      <c r="J102" s="10"/>
      <c r="K102" s="10">
        <v>1</v>
      </c>
      <c r="L102" s="10">
        <v>1</v>
      </c>
      <c r="M102" s="10"/>
      <c r="N102" s="10"/>
      <c r="O102" s="10">
        <v>1</v>
      </c>
      <c r="P102" s="10"/>
      <c r="Q102" s="10"/>
      <c r="R102" s="10"/>
      <c r="S102" s="10"/>
      <c r="T102" s="10"/>
      <c r="U102" s="10">
        <v>0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3:32" x14ac:dyDescent="0.25">
      <c r="C103" s="93" t="s">
        <v>169</v>
      </c>
      <c r="D103" s="200">
        <v>6229308</v>
      </c>
      <c r="E103" s="10" t="s">
        <v>141</v>
      </c>
      <c r="F103" s="13">
        <v>1</v>
      </c>
      <c r="G103" s="13">
        <v>1</v>
      </c>
      <c r="H103" s="13"/>
      <c r="I103" s="1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0"/>
    </row>
    <row r="104" spans="3:32" x14ac:dyDescent="0.25">
      <c r="C104" s="151" t="s">
        <v>284</v>
      </c>
      <c r="D104" s="152">
        <v>6523443</v>
      </c>
      <c r="E104" s="164" t="s">
        <v>242</v>
      </c>
      <c r="F104" s="159">
        <v>0</v>
      </c>
      <c r="G104" s="159">
        <v>1</v>
      </c>
      <c r="H104" s="151">
        <v>1</v>
      </c>
      <c r="I104" s="180"/>
      <c r="J104" s="151"/>
      <c r="K104" s="151">
        <v>0</v>
      </c>
      <c r="L104" s="151"/>
      <c r="M104" s="151"/>
      <c r="N104" s="151"/>
      <c r="O104" s="151"/>
      <c r="P104" s="151"/>
      <c r="Q104" s="151"/>
      <c r="R104" s="151"/>
      <c r="S104" s="151"/>
      <c r="T104" s="151"/>
      <c r="U104" s="151">
        <v>0</v>
      </c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</row>
    <row r="105" spans="3:32" x14ac:dyDescent="0.25">
      <c r="C105" s="165" t="s">
        <v>204</v>
      </c>
      <c r="D105" s="149">
        <v>3725958</v>
      </c>
      <c r="E105" s="159" t="s">
        <v>171</v>
      </c>
      <c r="F105" s="159">
        <v>0</v>
      </c>
      <c r="G105" s="159">
        <v>1</v>
      </c>
      <c r="H105" s="165">
        <v>0</v>
      </c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>
        <v>0</v>
      </c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</row>
    <row r="106" spans="3:32" x14ac:dyDescent="0.25">
      <c r="C106" s="165" t="s">
        <v>228</v>
      </c>
      <c r="D106" s="156">
        <v>5119987</v>
      </c>
      <c r="E106" s="159" t="s">
        <v>171</v>
      </c>
      <c r="F106" s="159">
        <v>0</v>
      </c>
      <c r="G106" s="159">
        <v>1</v>
      </c>
      <c r="H106" s="165">
        <v>2</v>
      </c>
      <c r="I106" s="165"/>
      <c r="J106" s="165"/>
      <c r="K106" s="165"/>
      <c r="L106" s="165"/>
      <c r="M106" s="165">
        <v>2</v>
      </c>
      <c r="N106" s="165"/>
      <c r="O106" s="165">
        <v>2</v>
      </c>
      <c r="P106" s="165">
        <v>1</v>
      </c>
      <c r="Q106" s="165"/>
      <c r="R106" s="165"/>
      <c r="S106" s="165"/>
      <c r="T106" s="165" t="s">
        <v>540</v>
      </c>
      <c r="U106" s="165">
        <v>0</v>
      </c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</row>
    <row r="107" spans="3:32" x14ac:dyDescent="0.25">
      <c r="C107" s="153" t="s">
        <v>53</v>
      </c>
      <c r="D107" s="164">
        <v>327692</v>
      </c>
      <c r="E107" s="159" t="s">
        <v>32</v>
      </c>
      <c r="F107" s="10">
        <v>0</v>
      </c>
      <c r="G107" s="10">
        <v>1</v>
      </c>
      <c r="H107" s="10">
        <v>2</v>
      </c>
      <c r="I107" s="8"/>
      <c r="J107" s="10"/>
      <c r="K107" s="10">
        <v>1</v>
      </c>
      <c r="L107" s="10">
        <v>1</v>
      </c>
      <c r="M107" s="10"/>
      <c r="N107" s="10"/>
      <c r="O107" s="10">
        <v>2</v>
      </c>
      <c r="P107" s="10"/>
      <c r="Q107" s="10">
        <v>1</v>
      </c>
      <c r="R107" s="10"/>
      <c r="S107" s="10"/>
      <c r="T107" s="10"/>
      <c r="U107" s="10">
        <v>2</v>
      </c>
      <c r="V107" s="10"/>
      <c r="W107" s="10"/>
      <c r="X107" s="10">
        <v>2</v>
      </c>
      <c r="Y107" s="10"/>
      <c r="Z107" s="10"/>
      <c r="AA107" s="10"/>
      <c r="AB107" s="10"/>
      <c r="AC107" s="10"/>
      <c r="AD107" s="10">
        <v>1</v>
      </c>
      <c r="AE107" s="10">
        <v>2</v>
      </c>
    </row>
    <row r="108" spans="3:32" x14ac:dyDescent="0.25">
      <c r="C108" s="148" t="s">
        <v>178</v>
      </c>
      <c r="D108" s="149">
        <v>5400722</v>
      </c>
      <c r="E108" s="159" t="s">
        <v>171</v>
      </c>
      <c r="F108" s="159">
        <v>0</v>
      </c>
      <c r="G108" s="159">
        <v>1</v>
      </c>
      <c r="H108">
        <v>2</v>
      </c>
      <c r="I108" s="17"/>
      <c r="K108">
        <v>2</v>
      </c>
      <c r="U108">
        <v>0</v>
      </c>
    </row>
    <row r="109" spans="3:32" x14ac:dyDescent="0.25">
      <c r="C109" s="148" t="s">
        <v>174</v>
      </c>
      <c r="D109" s="171">
        <v>873673</v>
      </c>
      <c r="E109" s="159" t="s">
        <v>171</v>
      </c>
      <c r="F109" s="159">
        <v>0</v>
      </c>
      <c r="G109" s="159">
        <v>1</v>
      </c>
      <c r="H109">
        <v>1</v>
      </c>
      <c r="I109" s="17"/>
      <c r="K109">
        <v>1</v>
      </c>
      <c r="O109">
        <v>1</v>
      </c>
      <c r="U109">
        <v>0</v>
      </c>
    </row>
    <row r="110" spans="3:32" x14ac:dyDescent="0.25">
      <c r="C110" s="151" t="s">
        <v>130</v>
      </c>
      <c r="D110" s="167">
        <v>6744097</v>
      </c>
      <c r="E110" s="159" t="s">
        <v>65</v>
      </c>
      <c r="F110" s="10">
        <v>0</v>
      </c>
      <c r="G110" s="10">
        <v>1</v>
      </c>
      <c r="H110" s="10">
        <v>1</v>
      </c>
      <c r="I110" s="8"/>
      <c r="J110" s="10"/>
      <c r="K110" s="10">
        <v>1</v>
      </c>
      <c r="L110" s="10"/>
      <c r="M110" s="10"/>
      <c r="N110" s="10"/>
      <c r="O110" s="10">
        <v>1</v>
      </c>
      <c r="P110" s="10"/>
      <c r="Q110" s="10"/>
      <c r="R110" s="10"/>
      <c r="S110" s="10"/>
      <c r="T110" s="10"/>
      <c r="U110" s="10">
        <v>1</v>
      </c>
      <c r="V110" s="10"/>
      <c r="W110" s="10"/>
      <c r="X110" s="10">
        <v>1</v>
      </c>
      <c r="Y110" s="10"/>
      <c r="Z110" s="10"/>
      <c r="AA110" s="10"/>
      <c r="AB110" s="10"/>
      <c r="AC110" s="10"/>
      <c r="AD110" s="10"/>
      <c r="AE110" s="10">
        <v>2</v>
      </c>
    </row>
    <row r="111" spans="3:32" x14ac:dyDescent="0.25">
      <c r="C111" t="s">
        <v>282</v>
      </c>
      <c r="D111" s="163">
        <v>3711750</v>
      </c>
      <c r="E111" s="158" t="s">
        <v>242</v>
      </c>
      <c r="F111" s="159">
        <v>0</v>
      </c>
      <c r="G111" s="159">
        <v>1</v>
      </c>
      <c r="H111">
        <v>0</v>
      </c>
      <c r="I111" s="17"/>
      <c r="U111">
        <v>0</v>
      </c>
    </row>
    <row r="112" spans="3:32" x14ac:dyDescent="0.25">
      <c r="C112" s="189" t="s">
        <v>142</v>
      </c>
      <c r="D112" s="197" t="s">
        <v>143</v>
      </c>
      <c r="E112" s="10" t="s">
        <v>36</v>
      </c>
      <c r="F112" s="10">
        <v>0</v>
      </c>
      <c r="G112" s="10">
        <v>1</v>
      </c>
      <c r="H112" s="10">
        <v>1</v>
      </c>
      <c r="I112" s="8"/>
      <c r="J112" s="10"/>
      <c r="K112" s="10">
        <v>1</v>
      </c>
      <c r="L112" s="10"/>
      <c r="M112" s="10">
        <v>1</v>
      </c>
      <c r="N112" s="10"/>
      <c r="O112" s="10"/>
      <c r="P112" s="10"/>
      <c r="Q112" s="10">
        <v>1</v>
      </c>
      <c r="R112" s="10"/>
      <c r="S112" s="10"/>
      <c r="T112" s="10"/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/>
      <c r="AD112" s="10"/>
      <c r="AE112" s="10"/>
      <c r="AF112" s="10"/>
    </row>
    <row r="113" spans="3:32" x14ac:dyDescent="0.25">
      <c r="C113" s="153" t="s">
        <v>289</v>
      </c>
      <c r="D113" s="166">
        <v>5868912</v>
      </c>
      <c r="E113" s="164" t="s">
        <v>242</v>
      </c>
      <c r="F113" s="159">
        <v>0</v>
      </c>
      <c r="G113" s="159">
        <v>1</v>
      </c>
      <c r="H113" s="151">
        <v>0</v>
      </c>
      <c r="I113" s="180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>
        <v>0</v>
      </c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</row>
    <row r="114" spans="3:32" x14ac:dyDescent="0.25">
      <c r="C114" s="155" t="s">
        <v>197</v>
      </c>
      <c r="D114" s="163">
        <v>1007203</v>
      </c>
      <c r="E114" s="158" t="s">
        <v>171</v>
      </c>
      <c r="F114" s="159">
        <v>0</v>
      </c>
      <c r="G114" s="159">
        <v>1</v>
      </c>
      <c r="H114">
        <v>1</v>
      </c>
      <c r="I114" s="17"/>
      <c r="O114">
        <v>1</v>
      </c>
      <c r="U114">
        <v>0</v>
      </c>
    </row>
    <row r="115" spans="3:32" x14ac:dyDescent="0.25">
      <c r="C115" s="184" t="s">
        <v>54</v>
      </c>
      <c r="D115" s="164">
        <v>6551189</v>
      </c>
      <c r="E115" s="159" t="s">
        <v>32</v>
      </c>
      <c r="F115" s="10">
        <v>0</v>
      </c>
      <c r="G115" s="10">
        <v>1</v>
      </c>
      <c r="H115" s="10">
        <v>0</v>
      </c>
      <c r="I115" s="8"/>
      <c r="J115" s="10"/>
      <c r="K115" s="10"/>
      <c r="L115" s="10"/>
      <c r="M115" s="10">
        <v>0</v>
      </c>
      <c r="N115" s="10"/>
      <c r="O115" s="10"/>
      <c r="P115" s="10"/>
      <c r="Q115" s="10">
        <v>1</v>
      </c>
      <c r="R115" s="10"/>
      <c r="S115" s="10"/>
      <c r="T115" s="10"/>
      <c r="U115" s="10">
        <v>0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1</v>
      </c>
      <c r="AF115" t="s">
        <v>547</v>
      </c>
    </row>
    <row r="116" spans="3:32" x14ac:dyDescent="0.25">
      <c r="C116" s="151" t="s">
        <v>133</v>
      </c>
      <c r="D116" s="167">
        <v>1220793</v>
      </c>
      <c r="E116" s="159" t="s">
        <v>65</v>
      </c>
      <c r="F116" s="13">
        <v>1</v>
      </c>
      <c r="G116" s="13">
        <v>1</v>
      </c>
      <c r="H116" s="13"/>
      <c r="I116" s="14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3:32" x14ac:dyDescent="0.25">
      <c r="C117" s="157" t="s">
        <v>194</v>
      </c>
      <c r="D117" s="160">
        <v>2797309</v>
      </c>
      <c r="E117" s="159" t="s">
        <v>171</v>
      </c>
      <c r="F117" s="159">
        <v>0</v>
      </c>
      <c r="G117" s="159">
        <v>1</v>
      </c>
      <c r="H117">
        <v>0</v>
      </c>
      <c r="U117">
        <v>0</v>
      </c>
    </row>
    <row r="118" spans="3:32" x14ac:dyDescent="0.25">
      <c r="C118" s="148" t="s">
        <v>251</v>
      </c>
      <c r="D118" s="149">
        <v>6334432</v>
      </c>
      <c r="E118" s="159" t="s">
        <v>242</v>
      </c>
      <c r="F118" s="159">
        <v>0</v>
      </c>
      <c r="G118" s="159">
        <v>1</v>
      </c>
      <c r="H118">
        <v>0</v>
      </c>
      <c r="U118">
        <v>0</v>
      </c>
    </row>
    <row r="119" spans="3:32" x14ac:dyDescent="0.25">
      <c r="C119" s="151" t="s">
        <v>81</v>
      </c>
      <c r="D119" s="167">
        <v>3379916</v>
      </c>
      <c r="E119" s="159" t="s">
        <v>65</v>
      </c>
      <c r="F119" s="10">
        <v>0</v>
      </c>
      <c r="G119" s="10">
        <v>1</v>
      </c>
      <c r="H119" s="10">
        <v>0</v>
      </c>
      <c r="I119" s="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>
        <v>0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10">
        <v>2</v>
      </c>
    </row>
    <row r="120" spans="3:32" x14ac:dyDescent="0.25">
      <c r="C120" s="153" t="s">
        <v>123</v>
      </c>
      <c r="D120" s="164">
        <v>6737247</v>
      </c>
      <c r="E120" s="159" t="s">
        <v>65</v>
      </c>
      <c r="F120" s="10">
        <v>0</v>
      </c>
      <c r="G120" s="10">
        <v>1</v>
      </c>
      <c r="H120" s="10">
        <v>0</v>
      </c>
      <c r="I120" s="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>
        <v>0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>
        <v>1</v>
      </c>
    </row>
    <row r="121" spans="3:32" x14ac:dyDescent="0.25">
      <c r="C121" s="153" t="s">
        <v>230</v>
      </c>
      <c r="D121" s="154">
        <v>2546984</v>
      </c>
      <c r="E121" s="164" t="s">
        <v>171</v>
      </c>
      <c r="F121" s="159">
        <v>0</v>
      </c>
      <c r="G121" s="159">
        <v>1</v>
      </c>
      <c r="H121" s="151">
        <v>2</v>
      </c>
      <c r="I121" s="151"/>
      <c r="J121" s="151"/>
      <c r="K121" s="151">
        <v>2</v>
      </c>
      <c r="L121" s="151">
        <v>1</v>
      </c>
      <c r="M121" s="151"/>
      <c r="N121" s="151"/>
      <c r="O121" s="151">
        <v>1</v>
      </c>
      <c r="P121" s="151"/>
      <c r="Q121" s="151"/>
      <c r="R121" s="151"/>
      <c r="S121" s="151"/>
      <c r="T121" s="151" t="s">
        <v>231</v>
      </c>
      <c r="U121" s="151">
        <v>1</v>
      </c>
      <c r="V121" s="151"/>
      <c r="W121" s="151"/>
      <c r="X121" s="151">
        <v>1</v>
      </c>
      <c r="Y121" s="151"/>
      <c r="Z121" s="151"/>
      <c r="AA121" s="151"/>
      <c r="AB121" s="151">
        <v>1</v>
      </c>
      <c r="AC121" s="151" t="s">
        <v>232</v>
      </c>
      <c r="AD121" s="151"/>
      <c r="AE121" s="151"/>
    </row>
    <row r="122" spans="3:32" x14ac:dyDescent="0.25">
      <c r="C122" s="173" t="s">
        <v>208</v>
      </c>
      <c r="D122" s="149">
        <v>4176512</v>
      </c>
      <c r="E122" t="s">
        <v>171</v>
      </c>
      <c r="F122" s="159">
        <v>0</v>
      </c>
      <c r="G122" s="159">
        <v>1</v>
      </c>
      <c r="H122">
        <v>1</v>
      </c>
      <c r="I122" s="17"/>
      <c r="K122">
        <v>1</v>
      </c>
      <c r="O122">
        <v>1</v>
      </c>
      <c r="U122">
        <v>0</v>
      </c>
    </row>
    <row r="123" spans="3:32" x14ac:dyDescent="0.25">
      <c r="C123" s="93" t="s">
        <v>158</v>
      </c>
      <c r="D123" s="200">
        <v>6264367</v>
      </c>
      <c r="E123" s="10" t="s">
        <v>148</v>
      </c>
      <c r="F123" s="10">
        <v>0</v>
      </c>
      <c r="G123" s="10">
        <v>1</v>
      </c>
      <c r="H123" s="10">
        <v>1</v>
      </c>
      <c r="I123" s="8"/>
      <c r="J123" s="10">
        <v>1</v>
      </c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1</v>
      </c>
      <c r="AE123" s="10">
        <v>1</v>
      </c>
      <c r="AF123" s="10"/>
    </row>
    <row r="124" spans="3:32" x14ac:dyDescent="0.25">
      <c r="C124" s="196" t="s">
        <v>139</v>
      </c>
      <c r="D124" s="203" t="s">
        <v>140</v>
      </c>
      <c r="E124" s="10" t="s">
        <v>141</v>
      </c>
      <c r="F124" s="13">
        <v>1</v>
      </c>
      <c r="G124" s="13">
        <v>1</v>
      </c>
      <c r="H124" s="13"/>
      <c r="I124" s="14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0"/>
    </row>
    <row r="125" spans="3:32" x14ac:dyDescent="0.25">
      <c r="C125" s="151" t="s">
        <v>116</v>
      </c>
      <c r="D125" s="167">
        <v>1508796</v>
      </c>
      <c r="E125" s="159" t="s">
        <v>65</v>
      </c>
      <c r="F125" s="10">
        <v>0</v>
      </c>
      <c r="G125" s="10">
        <v>1</v>
      </c>
      <c r="H125" s="10">
        <v>1</v>
      </c>
      <c r="I125" s="8"/>
      <c r="J125" s="10"/>
      <c r="K125" s="10">
        <v>1</v>
      </c>
      <c r="L125" s="10"/>
      <c r="M125" s="10"/>
      <c r="N125" s="10"/>
      <c r="O125" s="10"/>
      <c r="P125" s="10"/>
      <c r="Q125" s="10">
        <v>1</v>
      </c>
      <c r="R125" s="10"/>
      <c r="S125" s="10"/>
      <c r="T125" s="10"/>
      <c r="U125" s="10">
        <v>0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2</v>
      </c>
    </row>
    <row r="126" spans="3:32" x14ac:dyDescent="0.25">
      <c r="C126" t="s">
        <v>275</v>
      </c>
      <c r="D126" s="6">
        <v>6497371</v>
      </c>
      <c r="E126" s="158" t="s">
        <v>242</v>
      </c>
      <c r="F126" s="159">
        <v>0</v>
      </c>
      <c r="G126" s="159">
        <v>1</v>
      </c>
      <c r="H126" s="165">
        <v>0</v>
      </c>
      <c r="I126" s="17"/>
      <c r="U126" s="165">
        <v>0</v>
      </c>
    </row>
    <row r="127" spans="3:32" x14ac:dyDescent="0.25">
      <c r="C127" s="153" t="s">
        <v>92</v>
      </c>
      <c r="D127" s="164">
        <v>6185167</v>
      </c>
      <c r="E127" s="159" t="s">
        <v>65</v>
      </c>
      <c r="F127" s="10">
        <v>0</v>
      </c>
      <c r="G127" s="10">
        <v>1</v>
      </c>
      <c r="H127" s="10">
        <v>2</v>
      </c>
      <c r="I127" s="8"/>
      <c r="J127" s="10"/>
      <c r="K127" s="10"/>
      <c r="L127" s="10">
        <v>2</v>
      </c>
      <c r="M127" s="10"/>
      <c r="N127" s="10"/>
      <c r="O127" s="10"/>
      <c r="P127" s="10"/>
      <c r="Q127" s="10">
        <v>1</v>
      </c>
      <c r="R127" s="10"/>
      <c r="S127" s="10"/>
      <c r="T127" s="10"/>
      <c r="U127" s="10">
        <v>0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2</v>
      </c>
    </row>
    <row r="128" spans="3:32" x14ac:dyDescent="0.25">
      <c r="C128" s="151" t="s">
        <v>90</v>
      </c>
      <c r="D128" s="167">
        <v>1321044</v>
      </c>
      <c r="E128" s="159" t="s">
        <v>65</v>
      </c>
      <c r="F128" s="10">
        <v>0</v>
      </c>
      <c r="G128" s="10">
        <v>1</v>
      </c>
      <c r="H128" s="10">
        <v>2</v>
      </c>
      <c r="I128" s="8"/>
      <c r="J128" s="10"/>
      <c r="K128" s="10"/>
      <c r="L128" s="10">
        <v>2</v>
      </c>
      <c r="M128" s="10"/>
      <c r="N128" s="10"/>
      <c r="O128" s="10"/>
      <c r="P128" s="10"/>
      <c r="Q128" s="10"/>
      <c r="R128" s="10"/>
      <c r="S128" s="10"/>
      <c r="T128" s="10"/>
      <c r="U128" s="10">
        <v>0</v>
      </c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2</v>
      </c>
    </row>
    <row r="129" spans="3:32" x14ac:dyDescent="0.25">
      <c r="C129" s="151" t="s">
        <v>219</v>
      </c>
      <c r="D129" s="152">
        <v>6491856</v>
      </c>
      <c r="E129" s="164" t="s">
        <v>171</v>
      </c>
      <c r="F129" s="159">
        <v>0</v>
      </c>
      <c r="G129" s="159">
        <v>1</v>
      </c>
      <c r="H129" s="151">
        <v>0</v>
      </c>
      <c r="I129" s="180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>
        <v>0</v>
      </c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</row>
    <row r="130" spans="3:32" x14ac:dyDescent="0.25">
      <c r="C130" s="148" t="s">
        <v>186</v>
      </c>
      <c r="D130" s="149">
        <v>2513243</v>
      </c>
      <c r="E130" s="159" t="s">
        <v>171</v>
      </c>
      <c r="F130" s="159">
        <v>0</v>
      </c>
      <c r="G130" s="159">
        <v>1</v>
      </c>
      <c r="H130">
        <v>0</v>
      </c>
      <c r="U130">
        <v>0</v>
      </c>
    </row>
    <row r="131" spans="3:32" x14ac:dyDescent="0.25">
      <c r="C131" s="151" t="s">
        <v>277</v>
      </c>
      <c r="D131" s="167">
        <v>4689605</v>
      </c>
      <c r="E131" s="164" t="s">
        <v>242</v>
      </c>
      <c r="F131" s="159">
        <v>0</v>
      </c>
      <c r="G131" s="159">
        <v>1</v>
      </c>
      <c r="H131" s="151">
        <v>1</v>
      </c>
      <c r="I131" s="180"/>
      <c r="J131" s="151"/>
      <c r="K131" s="151">
        <v>1</v>
      </c>
      <c r="L131" s="151">
        <v>1</v>
      </c>
      <c r="M131" s="151"/>
      <c r="N131" s="151"/>
      <c r="O131" s="151"/>
      <c r="P131" s="151"/>
      <c r="Q131" s="151"/>
      <c r="R131" s="151"/>
      <c r="S131" s="151"/>
      <c r="T131" s="151"/>
      <c r="U131" s="151">
        <v>0</v>
      </c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</row>
    <row r="132" spans="3:32" x14ac:dyDescent="0.25">
      <c r="C132" s="153" t="s">
        <v>66</v>
      </c>
      <c r="D132" s="164">
        <v>6606902</v>
      </c>
      <c r="E132" s="159" t="s">
        <v>65</v>
      </c>
      <c r="F132" s="10">
        <v>0</v>
      </c>
      <c r="G132" s="10">
        <v>1</v>
      </c>
      <c r="H132" s="10">
        <v>0</v>
      </c>
      <c r="I132" s="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0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3:32" x14ac:dyDescent="0.25">
      <c r="C133" s="92" t="s">
        <v>159</v>
      </c>
      <c r="D133" s="198" t="s">
        <v>160</v>
      </c>
      <c r="E133" s="10" t="s">
        <v>148</v>
      </c>
      <c r="F133" s="10">
        <v>0</v>
      </c>
      <c r="G133" s="10">
        <v>1</v>
      </c>
      <c r="H133" s="10">
        <v>1</v>
      </c>
      <c r="I133" s="8"/>
      <c r="J133" s="10"/>
      <c r="K133" s="10">
        <v>1</v>
      </c>
      <c r="L133" s="10"/>
      <c r="M133" s="10"/>
      <c r="N133" s="10"/>
      <c r="O133" s="10">
        <v>1</v>
      </c>
      <c r="P133" s="10"/>
      <c r="Q133" s="10"/>
      <c r="R133" s="10"/>
      <c r="S133" s="10"/>
      <c r="T133" s="10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/>
      <c r="AD133" s="10"/>
      <c r="AE133" s="10"/>
      <c r="AF133" s="10"/>
    </row>
    <row r="134" spans="3:32" x14ac:dyDescent="0.25">
      <c r="C134" s="153" t="s">
        <v>110</v>
      </c>
      <c r="D134" s="164">
        <v>5877147</v>
      </c>
      <c r="E134" s="159" t="s">
        <v>65</v>
      </c>
      <c r="F134" s="10">
        <v>0</v>
      </c>
      <c r="G134" s="10">
        <v>1</v>
      </c>
      <c r="H134" s="10">
        <v>0</v>
      </c>
      <c r="I134" s="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>
        <v>0</v>
      </c>
      <c r="V134" s="10"/>
      <c r="W134" s="10"/>
      <c r="X134" s="10"/>
      <c r="Y134" s="10"/>
      <c r="Z134" s="10"/>
      <c r="AA134" s="10"/>
      <c r="AB134" s="10"/>
      <c r="AC134" s="10"/>
      <c r="AD134" s="10">
        <v>1</v>
      </c>
      <c r="AE134" s="10">
        <v>1</v>
      </c>
    </row>
    <row r="135" spans="3:32" x14ac:dyDescent="0.25">
      <c r="C135" s="153" t="s">
        <v>113</v>
      </c>
      <c r="D135" s="164">
        <v>4080425</v>
      </c>
      <c r="E135" s="159" t="s">
        <v>65</v>
      </c>
      <c r="F135" s="10">
        <v>0</v>
      </c>
      <c r="G135" s="10">
        <v>1</v>
      </c>
      <c r="H135" s="10">
        <v>1</v>
      </c>
      <c r="I135" s="8"/>
      <c r="J135" s="10"/>
      <c r="K135" s="10">
        <v>1</v>
      </c>
      <c r="L135" s="10">
        <v>1</v>
      </c>
      <c r="M135" s="10">
        <v>1</v>
      </c>
      <c r="N135" s="10"/>
      <c r="O135" s="10">
        <v>1</v>
      </c>
      <c r="P135" s="10"/>
      <c r="Q135" s="10">
        <v>1</v>
      </c>
      <c r="R135" s="10"/>
      <c r="S135" s="10"/>
      <c r="T135" s="10"/>
      <c r="U135" s="10">
        <v>0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3:32" x14ac:dyDescent="0.25">
      <c r="C136" s="151" t="s">
        <v>122</v>
      </c>
      <c r="D136" s="167">
        <v>2223185</v>
      </c>
      <c r="E136" s="159" t="s">
        <v>65</v>
      </c>
      <c r="F136" s="13">
        <v>1</v>
      </c>
      <c r="G136" s="13">
        <v>1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3:32" x14ac:dyDescent="0.25">
      <c r="C137" s="153" t="s">
        <v>114</v>
      </c>
      <c r="D137" s="164">
        <v>6722604</v>
      </c>
      <c r="E137" s="159" t="s">
        <v>65</v>
      </c>
      <c r="F137" s="10">
        <v>0</v>
      </c>
      <c r="G137" s="10">
        <v>1</v>
      </c>
      <c r="H137" s="10">
        <v>1</v>
      </c>
      <c r="I137" s="8"/>
      <c r="J137" s="10"/>
      <c r="K137" s="10">
        <v>1</v>
      </c>
      <c r="L137" s="10"/>
      <c r="M137" s="10"/>
      <c r="N137" s="10"/>
      <c r="O137" s="10">
        <v>1</v>
      </c>
      <c r="P137" s="10"/>
      <c r="Q137" s="10">
        <v>1</v>
      </c>
      <c r="R137" s="10"/>
      <c r="S137" s="10"/>
      <c r="T137" s="10"/>
      <c r="U137" s="10">
        <v>0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2</v>
      </c>
    </row>
    <row r="138" spans="3:32" x14ac:dyDescent="0.25">
      <c r="C138" s="148" t="s">
        <v>245</v>
      </c>
      <c r="D138" s="149">
        <v>5522060</v>
      </c>
      <c r="E138" s="159" t="s">
        <v>242</v>
      </c>
      <c r="F138" s="159">
        <v>1</v>
      </c>
      <c r="G138" s="159">
        <v>1</v>
      </c>
      <c r="H138" t="s">
        <v>172</v>
      </c>
      <c r="I138" s="17"/>
    </row>
    <row r="139" spans="3:32" x14ac:dyDescent="0.25">
      <c r="C139" s="174" t="s">
        <v>268</v>
      </c>
      <c r="D139" s="158">
        <v>5338778</v>
      </c>
      <c r="E139" s="158" t="s">
        <v>242</v>
      </c>
      <c r="F139" s="159">
        <v>0</v>
      </c>
      <c r="G139" s="159">
        <v>1</v>
      </c>
      <c r="H139">
        <v>0</v>
      </c>
      <c r="U139">
        <v>0</v>
      </c>
    </row>
    <row r="140" spans="3:32" x14ac:dyDescent="0.25">
      <c r="C140" t="s">
        <v>238</v>
      </c>
      <c r="D140" s="152">
        <v>2606163</v>
      </c>
      <c r="E140" s="158" t="s">
        <v>171</v>
      </c>
      <c r="F140" s="159">
        <v>0</v>
      </c>
      <c r="G140" s="159">
        <v>1</v>
      </c>
      <c r="H140">
        <v>1</v>
      </c>
      <c r="I140" s="17"/>
      <c r="K140">
        <v>1</v>
      </c>
      <c r="U140" s="151">
        <v>0</v>
      </c>
    </row>
    <row r="141" spans="3:32" x14ac:dyDescent="0.25">
      <c r="C141" s="153" t="s">
        <v>61</v>
      </c>
      <c r="D141" s="164">
        <v>3350992</v>
      </c>
      <c r="E141" s="159" t="s">
        <v>32</v>
      </c>
      <c r="F141" s="10">
        <v>0</v>
      </c>
      <c r="G141" s="10">
        <v>1</v>
      </c>
      <c r="H141" s="10">
        <v>2</v>
      </c>
      <c r="I141" s="8"/>
      <c r="J141" s="10"/>
      <c r="K141" s="10">
        <v>2</v>
      </c>
      <c r="L141" s="10">
        <v>1</v>
      </c>
      <c r="M141" s="10"/>
      <c r="N141" s="10"/>
      <c r="O141" s="10"/>
      <c r="P141" s="10"/>
      <c r="Q141" s="10">
        <v>1</v>
      </c>
      <c r="R141" s="10"/>
      <c r="S141" s="10"/>
      <c r="T141" s="10"/>
      <c r="U141" s="10">
        <v>0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</row>
    <row r="142" spans="3:32" x14ac:dyDescent="0.25">
      <c r="C142" s="157" t="s">
        <v>286</v>
      </c>
      <c r="D142" s="158">
        <v>2202418</v>
      </c>
      <c r="E142" s="158" t="s">
        <v>242</v>
      </c>
      <c r="F142" s="159">
        <v>0</v>
      </c>
      <c r="G142" s="159">
        <v>1</v>
      </c>
      <c r="H142">
        <v>0</v>
      </c>
      <c r="I142" s="17"/>
      <c r="U142">
        <v>0</v>
      </c>
      <c r="V142">
        <v>0</v>
      </c>
    </row>
    <row r="143" spans="3:32" x14ac:dyDescent="0.25">
      <c r="C143" s="151" t="s">
        <v>112</v>
      </c>
      <c r="D143" s="164">
        <v>957141</v>
      </c>
      <c r="E143" s="159" t="s">
        <v>65</v>
      </c>
      <c r="F143" s="10">
        <v>0</v>
      </c>
      <c r="G143" s="10">
        <v>1</v>
      </c>
      <c r="H143" s="10">
        <v>2</v>
      </c>
      <c r="I143" s="8"/>
      <c r="J143" s="10"/>
      <c r="K143" s="10">
        <v>2</v>
      </c>
      <c r="L143" s="10"/>
      <c r="M143" s="10"/>
      <c r="N143" s="10"/>
      <c r="O143" s="10">
        <v>1</v>
      </c>
      <c r="P143" s="10"/>
      <c r="Q143" s="10">
        <v>1</v>
      </c>
      <c r="R143" s="10"/>
      <c r="S143" s="10"/>
      <c r="T143" s="10"/>
      <c r="U143" s="10">
        <v>0</v>
      </c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2</v>
      </c>
    </row>
    <row r="144" spans="3:32" x14ac:dyDescent="0.25">
      <c r="C144" s="151" t="s">
        <v>285</v>
      </c>
      <c r="D144" s="152">
        <v>6430250</v>
      </c>
      <c r="E144" s="164" t="s">
        <v>242</v>
      </c>
      <c r="F144" s="159">
        <v>0</v>
      </c>
      <c r="G144" s="159">
        <v>1</v>
      </c>
      <c r="H144" s="151">
        <v>0</v>
      </c>
      <c r="I144" s="180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>
        <v>0</v>
      </c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</row>
    <row r="145" spans="3:31" x14ac:dyDescent="0.25">
      <c r="C145" s="151" t="s">
        <v>292</v>
      </c>
      <c r="D145" s="175">
        <v>1317813</v>
      </c>
      <c r="E145" s="164" t="s">
        <v>242</v>
      </c>
      <c r="F145" s="164">
        <v>0</v>
      </c>
      <c r="G145" s="159">
        <v>1</v>
      </c>
      <c r="H145" s="151">
        <v>1</v>
      </c>
      <c r="I145" s="180"/>
      <c r="J145" s="151"/>
      <c r="K145" s="151">
        <v>1</v>
      </c>
      <c r="L145" s="151"/>
      <c r="M145" s="151"/>
      <c r="N145" s="151"/>
      <c r="O145" s="151">
        <v>1</v>
      </c>
      <c r="P145" s="151"/>
      <c r="Q145" s="151"/>
      <c r="R145" s="151"/>
      <c r="S145" s="151"/>
      <c r="T145" s="151"/>
      <c r="U145" s="151">
        <v>0</v>
      </c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</row>
    <row r="146" spans="3:31" x14ac:dyDescent="0.25">
      <c r="C146" t="s">
        <v>274</v>
      </c>
      <c r="D146" s="6">
        <v>3446956</v>
      </c>
      <c r="E146" s="158" t="s">
        <v>242</v>
      </c>
      <c r="F146" s="159">
        <v>0</v>
      </c>
      <c r="G146" s="159">
        <v>1</v>
      </c>
      <c r="H146" s="165">
        <v>0</v>
      </c>
      <c r="I146" s="17"/>
      <c r="U146" s="165">
        <v>0</v>
      </c>
    </row>
    <row r="147" spans="3:31" x14ac:dyDescent="0.25">
      <c r="C147" s="165" t="s">
        <v>276</v>
      </c>
      <c r="D147" s="170">
        <v>1819735</v>
      </c>
      <c r="E147" s="159" t="s">
        <v>242</v>
      </c>
      <c r="F147" s="159">
        <v>0</v>
      </c>
      <c r="G147" s="159">
        <v>1</v>
      </c>
      <c r="H147" s="165">
        <v>0</v>
      </c>
      <c r="I147" s="222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>
        <v>1</v>
      </c>
      <c r="V147" s="165"/>
      <c r="W147" s="165"/>
      <c r="X147" s="165"/>
      <c r="Y147" s="165"/>
      <c r="Z147" s="165">
        <v>1</v>
      </c>
      <c r="AA147" s="165"/>
      <c r="AB147" s="165"/>
      <c r="AC147" s="165"/>
      <c r="AD147" s="165"/>
      <c r="AE147" s="165"/>
    </row>
    <row r="148" spans="3:31" x14ac:dyDescent="0.25">
      <c r="C148" s="151" t="s">
        <v>80</v>
      </c>
      <c r="D148" s="167">
        <v>6535928</v>
      </c>
      <c r="E148" s="159" t="s">
        <v>65</v>
      </c>
      <c r="F148" s="10">
        <v>0</v>
      </c>
      <c r="G148" s="10">
        <v>1</v>
      </c>
      <c r="H148" s="10">
        <v>1</v>
      </c>
      <c r="I148" s="8"/>
      <c r="J148" s="10"/>
      <c r="K148" s="10"/>
      <c r="L148" s="10"/>
      <c r="M148" s="10">
        <v>1</v>
      </c>
      <c r="N148" s="10"/>
      <c r="O148" s="10"/>
      <c r="P148" s="10"/>
      <c r="Q148" s="10"/>
      <c r="R148" s="10"/>
      <c r="S148" s="10"/>
      <c r="T148" s="10"/>
      <c r="U148" s="10">
        <v>0</v>
      </c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3:31" x14ac:dyDescent="0.25">
      <c r="C149" s="153" t="s">
        <v>279</v>
      </c>
      <c r="D149" s="164">
        <v>568973</v>
      </c>
      <c r="E149" s="164" t="s">
        <v>242</v>
      </c>
      <c r="F149" s="159">
        <v>0</v>
      </c>
      <c r="G149" s="159">
        <v>1</v>
      </c>
      <c r="H149" s="151">
        <v>2</v>
      </c>
      <c r="I149" s="180"/>
      <c r="J149" s="151"/>
      <c r="K149" s="151">
        <v>2</v>
      </c>
      <c r="L149" s="151"/>
      <c r="M149" s="151"/>
      <c r="N149" s="151"/>
      <c r="O149" s="151">
        <v>2</v>
      </c>
      <c r="P149" s="151"/>
      <c r="Q149" s="151"/>
      <c r="R149" s="151"/>
      <c r="S149" s="151"/>
      <c r="T149" s="151"/>
      <c r="U149" s="151">
        <v>1</v>
      </c>
      <c r="V149" s="151"/>
      <c r="W149" s="151">
        <v>1</v>
      </c>
      <c r="X149" s="151"/>
      <c r="Y149" s="151"/>
      <c r="Z149" s="151"/>
      <c r="AA149" s="151"/>
      <c r="AB149" s="151"/>
      <c r="AC149" s="151"/>
      <c r="AD149" s="151"/>
      <c r="AE149" s="151"/>
    </row>
    <row r="150" spans="3:31" x14ac:dyDescent="0.25">
      <c r="C150" s="153" t="s">
        <v>241</v>
      </c>
      <c r="D150" s="154">
        <v>4184793</v>
      </c>
      <c r="E150" s="164" t="s">
        <v>171</v>
      </c>
      <c r="F150" s="159">
        <v>0</v>
      </c>
      <c r="G150" s="164">
        <v>1</v>
      </c>
      <c r="H150" s="151">
        <v>1</v>
      </c>
      <c r="I150" s="180"/>
      <c r="J150" s="151"/>
      <c r="K150" s="151">
        <v>1</v>
      </c>
      <c r="L150" s="151">
        <v>1</v>
      </c>
      <c r="M150" s="151"/>
      <c r="N150" s="151"/>
      <c r="O150" s="151"/>
      <c r="P150" s="151"/>
      <c r="Q150" s="151"/>
      <c r="R150" s="151"/>
      <c r="S150" s="151"/>
      <c r="T150" s="151"/>
      <c r="U150" s="151">
        <v>0</v>
      </c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</row>
    <row r="151" spans="3:31" x14ac:dyDescent="0.25">
      <c r="C151" s="165" t="s">
        <v>281</v>
      </c>
      <c r="D151" s="156">
        <v>5322599</v>
      </c>
      <c r="E151" s="159" t="s">
        <v>242</v>
      </c>
      <c r="F151" s="159">
        <v>0</v>
      </c>
      <c r="G151" s="159">
        <v>1</v>
      </c>
      <c r="H151" s="165">
        <v>0</v>
      </c>
      <c r="I151" s="222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>
        <v>0</v>
      </c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</row>
    <row r="152" spans="3:31" x14ac:dyDescent="0.25">
      <c r="C152" s="151" t="s">
        <v>85</v>
      </c>
      <c r="D152" s="167">
        <v>3501315</v>
      </c>
      <c r="E152" s="164" t="s">
        <v>65</v>
      </c>
      <c r="F152" s="10">
        <v>0</v>
      </c>
      <c r="G152" s="10">
        <v>1</v>
      </c>
      <c r="H152" s="10">
        <v>1</v>
      </c>
      <c r="I152" s="8"/>
      <c r="J152" s="10"/>
      <c r="K152" s="10">
        <v>1</v>
      </c>
      <c r="L152" s="10"/>
      <c r="M152" s="10"/>
      <c r="N152" s="10"/>
      <c r="O152" s="10"/>
      <c r="P152" s="10"/>
      <c r="Q152" s="10"/>
      <c r="R152" s="10"/>
      <c r="S152" s="10"/>
      <c r="T152" s="10" t="s">
        <v>548</v>
      </c>
      <c r="U152" s="10">
        <v>0</v>
      </c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2</v>
      </c>
    </row>
    <row r="153" spans="3:31" x14ac:dyDescent="0.25">
      <c r="C153" s="153" t="s">
        <v>107</v>
      </c>
      <c r="D153" s="164">
        <v>3501458</v>
      </c>
      <c r="E153" s="159" t="s">
        <v>65</v>
      </c>
      <c r="F153" s="10">
        <v>0</v>
      </c>
      <c r="G153" s="10">
        <v>1</v>
      </c>
      <c r="H153" s="10">
        <v>1</v>
      </c>
      <c r="I153" s="8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>
        <v>0</v>
      </c>
      <c r="V153" s="10"/>
      <c r="W153" s="10"/>
      <c r="X153" s="10"/>
      <c r="Y153" s="10"/>
      <c r="Z153" s="10"/>
      <c r="AA153" s="10"/>
      <c r="AB153" s="10"/>
      <c r="AC153" s="10"/>
      <c r="AD153" s="10"/>
      <c r="AE153" s="10">
        <v>2</v>
      </c>
    </row>
    <row r="154" spans="3:31" x14ac:dyDescent="0.25">
      <c r="C154" s="153" t="s">
        <v>71</v>
      </c>
      <c r="D154" s="164">
        <v>6559599</v>
      </c>
      <c r="E154" s="159" t="s">
        <v>65</v>
      </c>
      <c r="F154" s="10">
        <v>0</v>
      </c>
      <c r="G154" s="10">
        <v>1</v>
      </c>
      <c r="H154" s="10">
        <v>0</v>
      </c>
      <c r="I154" s="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>
        <v>0</v>
      </c>
      <c r="V154" s="10"/>
      <c r="W154" s="10"/>
      <c r="X154" s="10"/>
      <c r="Y154" s="10"/>
      <c r="Z154" s="10"/>
      <c r="AA154" s="10"/>
      <c r="AB154" s="10"/>
      <c r="AC154" s="10"/>
      <c r="AD154" s="10"/>
      <c r="AE154" s="10">
        <v>2</v>
      </c>
    </row>
    <row r="155" spans="3:31" x14ac:dyDescent="0.25">
      <c r="C155" s="153" t="s">
        <v>126</v>
      </c>
      <c r="D155" s="164">
        <v>6324630</v>
      </c>
      <c r="E155" s="164" t="s">
        <v>65</v>
      </c>
      <c r="F155" s="13">
        <v>1</v>
      </c>
      <c r="G155" s="13">
        <v>1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spans="3:31" x14ac:dyDescent="0.25">
      <c r="C156" t="s">
        <v>237</v>
      </c>
      <c r="D156" s="163">
        <v>3567123</v>
      </c>
      <c r="E156" s="158" t="s">
        <v>171</v>
      </c>
      <c r="F156" s="159">
        <v>0</v>
      </c>
      <c r="G156" s="159">
        <v>1</v>
      </c>
      <c r="H156">
        <v>0</v>
      </c>
      <c r="I156" s="17"/>
      <c r="U156">
        <v>0</v>
      </c>
    </row>
    <row r="157" spans="3:31" x14ac:dyDescent="0.25">
      <c r="C157" s="151" t="s">
        <v>295</v>
      </c>
      <c r="D157" s="152">
        <v>5615152</v>
      </c>
      <c r="E157" s="164" t="s">
        <v>242</v>
      </c>
      <c r="F157" s="159">
        <v>0</v>
      </c>
      <c r="G157" s="159">
        <v>1</v>
      </c>
      <c r="H157" s="151">
        <v>0</v>
      </c>
      <c r="I157" s="180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>
        <v>0</v>
      </c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</row>
    <row r="158" spans="3:31" x14ac:dyDescent="0.25">
      <c r="C158" s="159" t="s">
        <v>35</v>
      </c>
      <c r="D158" s="159">
        <v>2461167</v>
      </c>
      <c r="E158" s="159" t="s">
        <v>36</v>
      </c>
      <c r="F158" s="10">
        <v>0</v>
      </c>
      <c r="G158" s="10">
        <v>1</v>
      </c>
      <c r="H158" s="10">
        <v>2</v>
      </c>
      <c r="I158" s="8"/>
      <c r="J158" s="10"/>
      <c r="K158" s="10">
        <v>2</v>
      </c>
      <c r="L158" s="10"/>
      <c r="M158" s="10"/>
      <c r="N158" s="10"/>
      <c r="O158" s="10">
        <v>2</v>
      </c>
      <c r="P158" s="10">
        <v>1</v>
      </c>
      <c r="Q158" s="10"/>
      <c r="R158" s="10"/>
      <c r="S158" s="10"/>
      <c r="T158" s="10"/>
      <c r="U158" s="10">
        <v>1</v>
      </c>
      <c r="V158" s="10"/>
      <c r="W158" s="10">
        <v>1</v>
      </c>
      <c r="X158" s="10"/>
      <c r="Y158" s="10"/>
      <c r="Z158" s="10"/>
      <c r="AA158" s="10"/>
      <c r="AB158" s="10">
        <v>1</v>
      </c>
      <c r="AC158" s="10"/>
      <c r="AD158" s="10"/>
      <c r="AE158" s="10"/>
    </row>
    <row r="159" spans="3:31" x14ac:dyDescent="0.25">
      <c r="C159" s="153" t="s">
        <v>70</v>
      </c>
      <c r="D159" s="164">
        <v>4640520</v>
      </c>
      <c r="E159" s="159" t="s">
        <v>49</v>
      </c>
      <c r="F159" s="13">
        <v>1</v>
      </c>
      <c r="G159" s="13">
        <v>1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spans="3:31" x14ac:dyDescent="0.25">
      <c r="C160" s="153" t="s">
        <v>74</v>
      </c>
      <c r="D160" s="164">
        <v>5371431</v>
      </c>
      <c r="E160" s="159" t="s">
        <v>65</v>
      </c>
      <c r="F160" s="10">
        <v>0</v>
      </c>
      <c r="G160" s="10">
        <v>1</v>
      </c>
      <c r="H160" s="10">
        <v>1</v>
      </c>
      <c r="I160" s="8"/>
      <c r="J160" s="10"/>
      <c r="K160" s="10"/>
      <c r="L160" s="10"/>
      <c r="M160" s="10"/>
      <c r="N160" s="10"/>
      <c r="O160" s="10">
        <v>1</v>
      </c>
      <c r="P160" s="10"/>
      <c r="Q160" s="10">
        <v>1</v>
      </c>
      <c r="R160" s="10"/>
      <c r="S160" s="10"/>
      <c r="T160" s="10"/>
      <c r="U160" s="10">
        <v>0</v>
      </c>
      <c r="V160" s="10"/>
      <c r="W160" s="10"/>
      <c r="X160" s="10"/>
      <c r="Y160" s="10"/>
      <c r="Z160" s="10"/>
      <c r="AA160" s="10"/>
      <c r="AB160" s="10"/>
      <c r="AC160" s="10"/>
      <c r="AD160" s="10">
        <v>1</v>
      </c>
      <c r="AE160" s="10"/>
    </row>
    <row r="161" spans="3:32" x14ac:dyDescent="0.25">
      <c r="C161" s="159" t="s">
        <v>41</v>
      </c>
      <c r="D161" s="159">
        <v>6378361</v>
      </c>
      <c r="E161" s="159" t="s">
        <v>32</v>
      </c>
      <c r="F161" s="10">
        <v>0</v>
      </c>
      <c r="G161" s="10">
        <v>1</v>
      </c>
      <c r="H161" s="10">
        <v>1</v>
      </c>
      <c r="I161" s="8"/>
      <c r="J161" s="10"/>
      <c r="K161" s="10">
        <v>1</v>
      </c>
      <c r="L161" s="10">
        <v>1</v>
      </c>
      <c r="M161" s="10"/>
      <c r="N161" s="10"/>
      <c r="O161" s="10"/>
      <c r="P161" s="10"/>
      <c r="Q161" s="10">
        <v>1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>
        <v>1</v>
      </c>
      <c r="AE161" s="10">
        <v>2</v>
      </c>
    </row>
    <row r="162" spans="3:32" x14ac:dyDescent="0.25">
      <c r="C162" s="157" t="s">
        <v>239</v>
      </c>
      <c r="D162" s="160">
        <v>2045165</v>
      </c>
      <c r="E162" s="158" t="s">
        <v>171</v>
      </c>
      <c r="F162" s="159">
        <v>1</v>
      </c>
      <c r="G162" s="159">
        <v>1</v>
      </c>
      <c r="H162" t="s">
        <v>172</v>
      </c>
      <c r="I162" s="17"/>
    </row>
    <row r="163" spans="3:32" x14ac:dyDescent="0.25">
      <c r="C163" s="186" t="s">
        <v>43</v>
      </c>
      <c r="D163" s="186">
        <v>6007874</v>
      </c>
      <c r="E163" s="169" t="s">
        <v>32</v>
      </c>
      <c r="F163" s="13">
        <v>1</v>
      </c>
      <c r="G163" s="13">
        <v>1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spans="3:32" x14ac:dyDescent="0.25">
      <c r="C164" s="153" t="s">
        <v>101</v>
      </c>
      <c r="D164" s="164">
        <v>1248363</v>
      </c>
      <c r="E164" s="159" t="s">
        <v>65</v>
      </c>
      <c r="F164" s="10">
        <v>0</v>
      </c>
      <c r="G164" s="10">
        <v>1</v>
      </c>
      <c r="H164" s="10">
        <v>1</v>
      </c>
      <c r="I164" s="8"/>
      <c r="J164" s="10"/>
      <c r="K164" s="10">
        <v>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>
        <v>0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2</v>
      </c>
    </row>
    <row r="165" spans="3:32" x14ac:dyDescent="0.25">
      <c r="C165" s="151" t="s">
        <v>288</v>
      </c>
      <c r="D165" s="152">
        <v>6259132</v>
      </c>
      <c r="E165" s="164" t="s">
        <v>242</v>
      </c>
      <c r="F165" s="159">
        <v>1</v>
      </c>
      <c r="G165" s="159">
        <v>1</v>
      </c>
      <c r="H165" t="s">
        <v>172</v>
      </c>
      <c r="I165" s="180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</row>
    <row r="166" spans="3:32" x14ac:dyDescent="0.25">
      <c r="C166" s="157" t="s">
        <v>180</v>
      </c>
      <c r="D166" s="160">
        <v>3608742</v>
      </c>
      <c r="E166" s="158" t="s">
        <v>171</v>
      </c>
      <c r="F166" s="159">
        <v>0</v>
      </c>
      <c r="G166" s="159">
        <v>1</v>
      </c>
      <c r="H166">
        <v>2</v>
      </c>
      <c r="I166" s="17"/>
      <c r="K166">
        <v>2</v>
      </c>
      <c r="O166">
        <v>2</v>
      </c>
      <c r="U166">
        <v>1</v>
      </c>
      <c r="X166">
        <v>1</v>
      </c>
      <c r="Z166">
        <v>1</v>
      </c>
    </row>
    <row r="167" spans="3:32" x14ac:dyDescent="0.25">
      <c r="C167" s="153" t="s">
        <v>283</v>
      </c>
      <c r="D167" s="164">
        <v>1978750</v>
      </c>
      <c r="E167" s="164" t="s">
        <v>242</v>
      </c>
      <c r="F167" s="159">
        <v>0</v>
      </c>
      <c r="G167" s="159">
        <v>1</v>
      </c>
      <c r="H167" s="151">
        <v>2</v>
      </c>
      <c r="I167" s="180"/>
      <c r="J167" s="151"/>
      <c r="K167" s="151">
        <v>2</v>
      </c>
      <c r="L167" s="151"/>
      <c r="M167" s="151">
        <v>2</v>
      </c>
      <c r="N167" s="151"/>
      <c r="O167" s="151"/>
      <c r="P167" s="151"/>
      <c r="Q167" s="151">
        <v>1</v>
      </c>
      <c r="R167" s="151"/>
      <c r="S167" s="151"/>
      <c r="T167" s="151"/>
      <c r="U167" s="151">
        <v>0</v>
      </c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</row>
    <row r="168" spans="3:32" x14ac:dyDescent="0.25">
      <c r="C168" s="153" t="s">
        <v>108</v>
      </c>
      <c r="D168" s="164">
        <v>4886388</v>
      </c>
      <c r="E168" s="159" t="s">
        <v>65</v>
      </c>
      <c r="F168" s="10">
        <v>0</v>
      </c>
      <c r="G168" s="10">
        <v>1</v>
      </c>
      <c r="H168" s="10">
        <v>0</v>
      </c>
      <c r="I168" s="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0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>
        <v>2</v>
      </c>
    </row>
    <row r="169" spans="3:32" x14ac:dyDescent="0.25">
      <c r="C169" s="92" t="s">
        <v>161</v>
      </c>
      <c r="D169" s="198" t="s">
        <v>162</v>
      </c>
      <c r="E169" s="10" t="s">
        <v>148</v>
      </c>
      <c r="F169" s="13">
        <v>1</v>
      </c>
      <c r="G169" s="13">
        <v>1</v>
      </c>
      <c r="H169" s="13"/>
      <c r="I169" s="1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0"/>
    </row>
    <row r="170" spans="3:32" x14ac:dyDescent="0.25">
      <c r="C170" s="148" t="s">
        <v>256</v>
      </c>
      <c r="D170" s="149">
        <v>1258937</v>
      </c>
      <c r="E170" s="159" t="s">
        <v>242</v>
      </c>
      <c r="F170" s="159">
        <v>0</v>
      </c>
      <c r="G170" s="159">
        <v>1</v>
      </c>
      <c r="H170">
        <v>0</v>
      </c>
      <c r="U170">
        <v>0</v>
      </c>
    </row>
    <row r="171" spans="3:32" x14ac:dyDescent="0.25">
      <c r="C171" s="151" t="s">
        <v>121</v>
      </c>
      <c r="D171" s="167">
        <v>6731240</v>
      </c>
      <c r="E171" s="159" t="s">
        <v>65</v>
      </c>
      <c r="F171" s="10">
        <v>0</v>
      </c>
      <c r="G171" s="10">
        <v>1</v>
      </c>
      <c r="H171" s="10">
        <v>1</v>
      </c>
      <c r="I171" s="8"/>
      <c r="J171" s="10"/>
      <c r="K171" s="10"/>
      <c r="L171" s="10">
        <v>1</v>
      </c>
      <c r="M171" s="10"/>
      <c r="N171" s="10"/>
      <c r="O171" s="10">
        <v>1</v>
      </c>
      <c r="P171" s="10"/>
      <c r="Q171" s="10"/>
      <c r="R171" s="10"/>
      <c r="S171" s="10"/>
      <c r="T171" s="10"/>
      <c r="U171" s="10">
        <v>0</v>
      </c>
      <c r="V171" s="10"/>
      <c r="W171" s="10"/>
      <c r="X171" s="10"/>
      <c r="Y171" s="10"/>
      <c r="Z171" s="10"/>
      <c r="AA171" s="10"/>
      <c r="AB171" s="10"/>
      <c r="AC171" s="10"/>
      <c r="AD171" s="10">
        <v>1</v>
      </c>
      <c r="AE171" s="10">
        <v>2</v>
      </c>
    </row>
    <row r="172" spans="3:32" x14ac:dyDescent="0.25">
      <c r="C172" s="165" t="s">
        <v>48</v>
      </c>
      <c r="D172" s="170">
        <v>6517497</v>
      </c>
      <c r="E172" s="159" t="s">
        <v>49</v>
      </c>
      <c r="F172" s="10">
        <v>0</v>
      </c>
      <c r="G172" s="10">
        <v>1</v>
      </c>
      <c r="H172" s="10">
        <v>1</v>
      </c>
      <c r="I172" s="8"/>
      <c r="J172" s="10"/>
      <c r="K172" s="10"/>
      <c r="L172" s="10">
        <v>1</v>
      </c>
      <c r="M172" s="10"/>
      <c r="N172" s="10"/>
      <c r="O172" s="10">
        <v>1</v>
      </c>
      <c r="P172" s="10"/>
      <c r="Q172" s="10">
        <v>1</v>
      </c>
      <c r="R172" s="10"/>
      <c r="S172" s="10"/>
      <c r="T172" s="10"/>
      <c r="U172" s="10">
        <v>1</v>
      </c>
      <c r="V172" s="10"/>
      <c r="W172" s="10"/>
      <c r="X172" s="10"/>
      <c r="Y172" s="10"/>
      <c r="Z172" s="10">
        <v>1</v>
      </c>
      <c r="AA172" s="10"/>
      <c r="AB172" s="10"/>
      <c r="AC172" s="10"/>
      <c r="AD172" s="10"/>
      <c r="AE172" s="10"/>
      <c r="AF172" t="s">
        <v>532</v>
      </c>
    </row>
    <row r="173" spans="3:32" x14ac:dyDescent="0.25">
      <c r="C173" s="151" t="s">
        <v>47</v>
      </c>
      <c r="D173" s="167">
        <v>6499494</v>
      </c>
      <c r="E173" s="159" t="s">
        <v>32</v>
      </c>
      <c r="F173" s="13">
        <v>1</v>
      </c>
      <c r="G173" s="13">
        <v>1</v>
      </c>
      <c r="H173" s="13"/>
      <c r="I173" s="1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spans="3:32" x14ac:dyDescent="0.25">
      <c r="C174" s="148" t="s">
        <v>249</v>
      </c>
      <c r="D174" s="149">
        <v>2279275</v>
      </c>
      <c r="E174" s="159" t="s">
        <v>242</v>
      </c>
      <c r="F174" s="159">
        <v>0</v>
      </c>
      <c r="G174" s="159">
        <v>1</v>
      </c>
      <c r="H174">
        <v>0</v>
      </c>
      <c r="U174">
        <v>0</v>
      </c>
    </row>
    <row r="175" spans="3:32" x14ac:dyDescent="0.25">
      <c r="C175" s="151" t="s">
        <v>300</v>
      </c>
      <c r="D175" s="163">
        <v>6495503</v>
      </c>
      <c r="E175" s="149" t="s">
        <v>242</v>
      </c>
      <c r="F175" s="159">
        <v>0</v>
      </c>
      <c r="G175" s="159">
        <v>1</v>
      </c>
      <c r="H175" s="151">
        <v>0</v>
      </c>
      <c r="I175" s="17"/>
      <c r="J175" s="151"/>
      <c r="U175" s="151">
        <v>0</v>
      </c>
    </row>
    <row r="176" spans="3:32" x14ac:dyDescent="0.25">
      <c r="C176" s="151" t="s">
        <v>111</v>
      </c>
      <c r="D176" s="164">
        <v>950828</v>
      </c>
      <c r="E176" s="159" t="s">
        <v>65</v>
      </c>
      <c r="F176" s="13">
        <v>1</v>
      </c>
      <c r="G176" s="13">
        <v>1</v>
      </c>
      <c r="H176" s="13"/>
      <c r="I176" s="1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spans="3:32" x14ac:dyDescent="0.25">
      <c r="C177" s="159" t="s">
        <v>258</v>
      </c>
      <c r="D177" s="149">
        <v>6346687</v>
      </c>
      <c r="E177" s="159" t="s">
        <v>242</v>
      </c>
      <c r="F177" s="159">
        <v>0</v>
      </c>
      <c r="G177" s="159">
        <v>1</v>
      </c>
      <c r="H177">
        <v>0</v>
      </c>
      <c r="I177" s="17"/>
      <c r="U177">
        <v>1</v>
      </c>
      <c r="W177">
        <v>1</v>
      </c>
    </row>
    <row r="178" spans="3:32" x14ac:dyDescent="0.25">
      <c r="C178" s="159" t="s">
        <v>34</v>
      </c>
      <c r="D178" s="159">
        <v>2144782</v>
      </c>
      <c r="E178" s="159" t="s">
        <v>32</v>
      </c>
      <c r="F178" s="10">
        <v>0</v>
      </c>
      <c r="G178" s="10">
        <v>1</v>
      </c>
      <c r="H178" s="10">
        <v>1</v>
      </c>
      <c r="I178" s="8"/>
      <c r="J178" s="10"/>
      <c r="K178" s="10">
        <v>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0</v>
      </c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3:32" x14ac:dyDescent="0.25">
      <c r="C179" s="182" t="s">
        <v>128</v>
      </c>
      <c r="D179" s="164">
        <v>3439354</v>
      </c>
      <c r="E179" s="159" t="s">
        <v>65</v>
      </c>
      <c r="F179" s="10">
        <v>0</v>
      </c>
      <c r="G179" s="10">
        <v>1</v>
      </c>
      <c r="H179" s="10">
        <v>0</v>
      </c>
      <c r="I179" s="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>
        <v>0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3:32" x14ac:dyDescent="0.25">
      <c r="C180" s="93" t="s">
        <v>167</v>
      </c>
      <c r="D180" s="200">
        <v>5882236</v>
      </c>
      <c r="E180" s="10" t="s">
        <v>148</v>
      </c>
      <c r="F180" s="10">
        <v>0</v>
      </c>
      <c r="G180" s="10">
        <v>1</v>
      </c>
      <c r="H180" s="10">
        <v>1</v>
      </c>
      <c r="I180" s="8"/>
      <c r="J180" s="10"/>
      <c r="K180" s="10">
        <v>1</v>
      </c>
      <c r="L180" s="10"/>
      <c r="M180" s="10"/>
      <c r="N180" s="10"/>
      <c r="O180" s="10"/>
      <c r="P180" s="10"/>
      <c r="Q180" s="10">
        <v>1</v>
      </c>
      <c r="R180" s="10"/>
      <c r="S180" s="10"/>
      <c r="T180" s="10"/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/>
      <c r="AD180" s="10">
        <v>0</v>
      </c>
      <c r="AE180" s="10">
        <v>0</v>
      </c>
      <c r="AF180" s="10"/>
    </row>
    <row r="181" spans="3:32" x14ac:dyDescent="0.25">
      <c r="C181" s="153" t="s">
        <v>213</v>
      </c>
      <c r="D181" s="154">
        <v>524859</v>
      </c>
      <c r="E181" s="164" t="s">
        <v>171</v>
      </c>
      <c r="F181" s="159">
        <v>1</v>
      </c>
      <c r="G181" s="164">
        <v>1</v>
      </c>
      <c r="H181" t="s">
        <v>172</v>
      </c>
      <c r="I181" s="180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</row>
    <row r="182" spans="3:32" x14ac:dyDescent="0.25">
      <c r="C182" t="s">
        <v>45</v>
      </c>
      <c r="D182" s="6">
        <v>6441005</v>
      </c>
      <c r="E182" s="159" t="s">
        <v>32</v>
      </c>
      <c r="F182" s="13">
        <v>1</v>
      </c>
      <c r="G182" s="13">
        <v>1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spans="3:32" x14ac:dyDescent="0.25">
      <c r="C183" s="155" t="s">
        <v>196</v>
      </c>
      <c r="D183" s="160">
        <v>1505916</v>
      </c>
      <c r="E183" s="158" t="s">
        <v>171</v>
      </c>
      <c r="F183" s="159">
        <v>0</v>
      </c>
      <c r="G183" s="159">
        <v>1</v>
      </c>
      <c r="H183">
        <v>2</v>
      </c>
      <c r="I183" s="17"/>
      <c r="K183">
        <v>1</v>
      </c>
      <c r="M183">
        <v>2</v>
      </c>
      <c r="O183">
        <v>2</v>
      </c>
      <c r="U183">
        <v>0</v>
      </c>
    </row>
    <row r="184" spans="3:32" x14ac:dyDescent="0.25">
      <c r="C184" s="194" t="s">
        <v>164</v>
      </c>
      <c r="D184" s="200">
        <v>3361340</v>
      </c>
      <c r="E184" s="10" t="s">
        <v>148</v>
      </c>
      <c r="F184" s="10"/>
      <c r="G184" s="10"/>
      <c r="H184" s="10"/>
      <c r="I184" s="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3:32" x14ac:dyDescent="0.25">
      <c r="C185" s="165" t="s">
        <v>206</v>
      </c>
      <c r="D185" s="149">
        <v>242136</v>
      </c>
      <c r="E185" s="159" t="s">
        <v>171</v>
      </c>
      <c r="F185" s="159">
        <v>0</v>
      </c>
      <c r="G185" s="159">
        <v>1</v>
      </c>
      <c r="H185" s="165">
        <v>1</v>
      </c>
      <c r="I185" s="222"/>
      <c r="J185" s="165"/>
      <c r="K185" s="165">
        <v>1</v>
      </c>
      <c r="L185" s="165"/>
      <c r="M185" s="165">
        <v>1</v>
      </c>
      <c r="N185" s="165"/>
      <c r="O185" s="165"/>
      <c r="P185" s="165"/>
      <c r="Q185" s="165"/>
      <c r="R185" s="165"/>
      <c r="S185" s="165"/>
      <c r="T185" s="165"/>
      <c r="U185" s="165">
        <v>0</v>
      </c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</row>
    <row r="186" spans="3:32" x14ac:dyDescent="0.25">
      <c r="C186" s="153" t="s">
        <v>67</v>
      </c>
      <c r="D186" s="164">
        <v>5495453</v>
      </c>
      <c r="E186" s="159" t="s">
        <v>65</v>
      </c>
      <c r="F186" s="13">
        <v>1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spans="3:32" x14ac:dyDescent="0.25">
      <c r="C187" s="151" t="s">
        <v>89</v>
      </c>
      <c r="D187" s="167">
        <v>4012359</v>
      </c>
      <c r="E187" s="159" t="s">
        <v>65</v>
      </c>
      <c r="F187" s="10">
        <v>0</v>
      </c>
      <c r="G187" s="10">
        <v>1</v>
      </c>
      <c r="H187" s="10">
        <v>1</v>
      </c>
      <c r="I187" s="8"/>
      <c r="J187" s="10"/>
      <c r="K187" s="10">
        <v>1</v>
      </c>
      <c r="L187" s="10"/>
      <c r="M187" s="10"/>
      <c r="N187" s="10"/>
      <c r="O187" s="10">
        <v>1</v>
      </c>
      <c r="P187" s="10"/>
      <c r="Q187" s="10"/>
      <c r="R187" s="10"/>
      <c r="S187" s="10"/>
      <c r="T187" s="10"/>
      <c r="U187" s="10">
        <v>0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>
        <v>2</v>
      </c>
    </row>
    <row r="188" spans="3:32" x14ac:dyDescent="0.25">
      <c r="C188" s="159" t="s">
        <v>31</v>
      </c>
      <c r="D188" s="159">
        <v>860879</v>
      </c>
      <c r="E188" s="159" t="s">
        <v>32</v>
      </c>
      <c r="F188" s="10">
        <v>0</v>
      </c>
      <c r="G188" s="10">
        <v>1</v>
      </c>
      <c r="H188" s="10">
        <v>1</v>
      </c>
      <c r="I188" s="8"/>
      <c r="J188" s="10"/>
      <c r="K188" s="10">
        <v>1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>
        <v>0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>
        <v>1</v>
      </c>
    </row>
    <row r="189" spans="3:32" x14ac:dyDescent="0.25">
      <c r="C189" s="176" t="s">
        <v>216</v>
      </c>
      <c r="D189" s="177">
        <v>1766448</v>
      </c>
      <c r="E189" s="164" t="s">
        <v>171</v>
      </c>
      <c r="F189" s="159">
        <v>0</v>
      </c>
      <c r="G189" s="159">
        <v>1</v>
      </c>
      <c r="H189" s="151">
        <v>1</v>
      </c>
      <c r="I189" s="151"/>
      <c r="J189" s="151"/>
      <c r="K189" s="151">
        <v>1</v>
      </c>
      <c r="L189" s="151"/>
      <c r="M189" s="151">
        <v>1</v>
      </c>
      <c r="N189" s="151"/>
      <c r="O189" s="151"/>
      <c r="P189" s="151"/>
      <c r="Q189" s="151"/>
      <c r="R189" s="151"/>
      <c r="S189" s="151"/>
      <c r="T189" s="151"/>
      <c r="U189" s="151">
        <v>0</v>
      </c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</row>
    <row r="190" spans="3:32" x14ac:dyDescent="0.25">
      <c r="C190" s="178" t="s">
        <v>198</v>
      </c>
      <c r="D190" s="160">
        <v>4894117</v>
      </c>
      <c r="E190" s="178" t="s">
        <v>171</v>
      </c>
      <c r="F190" s="159">
        <v>0</v>
      </c>
      <c r="G190" s="159">
        <v>1</v>
      </c>
      <c r="H190" s="178">
        <v>0</v>
      </c>
      <c r="I190" s="181"/>
      <c r="J190" s="181"/>
      <c r="K190" s="181"/>
      <c r="L190" s="181"/>
      <c r="M190" s="181"/>
      <c r="N190" s="181"/>
      <c r="O190" s="181"/>
      <c r="P190" s="181"/>
      <c r="Q190" s="181"/>
      <c r="R190" s="178"/>
      <c r="S190" s="181"/>
      <c r="T190" s="181"/>
      <c r="U190" s="181">
        <v>0</v>
      </c>
      <c r="W190" s="178"/>
      <c r="X190" s="181"/>
      <c r="Y190" s="181"/>
      <c r="Z190" s="181"/>
      <c r="AA190" s="178"/>
      <c r="AB190" s="178"/>
      <c r="AC190" s="181"/>
      <c r="AD190" s="181"/>
      <c r="AE190" s="181"/>
    </row>
    <row r="191" spans="3:32" x14ac:dyDescent="0.25">
      <c r="C191" s="153" t="s">
        <v>69</v>
      </c>
      <c r="D191" s="164">
        <v>2404653</v>
      </c>
      <c r="E191" s="159" t="s">
        <v>65</v>
      </c>
      <c r="F191" s="13">
        <v>1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spans="3:32" x14ac:dyDescent="0.25">
      <c r="C192" s="148" t="s">
        <v>175</v>
      </c>
      <c r="D192" s="149">
        <v>4646753</v>
      </c>
      <c r="E192" s="159" t="s">
        <v>171</v>
      </c>
      <c r="F192" s="159">
        <v>0</v>
      </c>
      <c r="G192" s="159">
        <v>1</v>
      </c>
      <c r="H192">
        <v>2</v>
      </c>
      <c r="I192">
        <v>2</v>
      </c>
      <c r="J192">
        <v>2</v>
      </c>
      <c r="K192">
        <v>2</v>
      </c>
      <c r="L192">
        <v>1</v>
      </c>
      <c r="O192">
        <v>2</v>
      </c>
      <c r="U192">
        <v>1</v>
      </c>
      <c r="AA192">
        <v>1</v>
      </c>
    </row>
    <row r="193" spans="3:32" x14ac:dyDescent="0.25">
      <c r="C193" s="153" t="s">
        <v>117</v>
      </c>
      <c r="D193" s="164">
        <v>1429898</v>
      </c>
      <c r="E193" s="159" t="s">
        <v>65</v>
      </c>
      <c r="F193" s="10">
        <v>0</v>
      </c>
      <c r="G193" s="10">
        <v>1</v>
      </c>
      <c r="H193" s="10">
        <v>0</v>
      </c>
      <c r="I193" s="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>
        <v>0</v>
      </c>
      <c r="V193" s="10"/>
      <c r="W193" s="10"/>
      <c r="X193" s="10"/>
      <c r="Y193" s="10"/>
      <c r="Z193" s="10"/>
      <c r="AA193" s="10"/>
      <c r="AB193" s="10"/>
      <c r="AC193" s="10"/>
      <c r="AD193" s="10"/>
      <c r="AE193" s="10">
        <v>2</v>
      </c>
    </row>
    <row r="194" spans="3:32" x14ac:dyDescent="0.25">
      <c r="C194" s="148" t="s">
        <v>182</v>
      </c>
      <c r="D194" s="149">
        <v>5059887</v>
      </c>
      <c r="E194" s="159" t="s">
        <v>171</v>
      </c>
      <c r="F194" s="159">
        <v>0</v>
      </c>
      <c r="G194" s="159">
        <v>1</v>
      </c>
      <c r="H194">
        <v>2</v>
      </c>
      <c r="K194">
        <v>2</v>
      </c>
      <c r="O194">
        <v>2</v>
      </c>
      <c r="U194">
        <v>0</v>
      </c>
    </row>
    <row r="195" spans="3:32" x14ac:dyDescent="0.25">
      <c r="C195" s="153" t="s">
        <v>83</v>
      </c>
      <c r="D195" s="167">
        <v>6648143</v>
      </c>
      <c r="E195" s="159" t="s">
        <v>65</v>
      </c>
      <c r="F195" s="10">
        <v>0</v>
      </c>
      <c r="G195" s="10">
        <v>1</v>
      </c>
      <c r="H195" s="10">
        <v>0</v>
      </c>
      <c r="I195" s="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0</v>
      </c>
      <c r="V195" s="10"/>
      <c r="W195" s="10"/>
      <c r="X195" s="10"/>
      <c r="Y195" s="10"/>
      <c r="Z195" s="10"/>
      <c r="AA195" s="10"/>
      <c r="AB195" s="10"/>
      <c r="AC195" s="10"/>
      <c r="AD195" s="10">
        <v>1</v>
      </c>
      <c r="AE195" s="10">
        <v>1</v>
      </c>
    </row>
    <row r="196" spans="3:32" x14ac:dyDescent="0.25">
      <c r="C196" s="187" t="s">
        <v>68</v>
      </c>
      <c r="D196" s="167">
        <v>1817419</v>
      </c>
      <c r="E196" s="159" t="s">
        <v>65</v>
      </c>
      <c r="F196" s="10">
        <v>0</v>
      </c>
      <c r="G196" s="10">
        <v>1</v>
      </c>
      <c r="H196" s="10">
        <v>0</v>
      </c>
      <c r="I196" s="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0</v>
      </c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3:32" x14ac:dyDescent="0.25">
      <c r="C197" s="184" t="s">
        <v>57</v>
      </c>
      <c r="D197" s="167">
        <v>5576950</v>
      </c>
      <c r="E197" s="159" t="s">
        <v>32</v>
      </c>
      <c r="F197" s="10">
        <v>0</v>
      </c>
      <c r="G197" s="10">
        <v>1</v>
      </c>
      <c r="H197" s="10">
        <v>1</v>
      </c>
      <c r="I197" s="8"/>
      <c r="J197" s="10"/>
      <c r="K197" s="10"/>
      <c r="L197" s="10">
        <v>1</v>
      </c>
      <c r="M197" s="10"/>
      <c r="N197" s="10"/>
      <c r="O197" s="10">
        <v>1</v>
      </c>
      <c r="P197" s="10"/>
      <c r="Q197" s="10"/>
      <c r="R197" s="10"/>
      <c r="S197" s="10"/>
      <c r="T197" s="10"/>
      <c r="U197" s="10">
        <v>0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2</v>
      </c>
    </row>
    <row r="198" spans="3:32" x14ac:dyDescent="0.25">
      <c r="C198" s="148" t="s">
        <v>247</v>
      </c>
      <c r="D198" s="149">
        <v>6332571</v>
      </c>
      <c r="E198" s="159" t="s">
        <v>242</v>
      </c>
      <c r="F198" s="159">
        <v>0</v>
      </c>
      <c r="G198" s="159">
        <v>1</v>
      </c>
      <c r="H198">
        <v>2</v>
      </c>
      <c r="I198" s="17"/>
      <c r="K198">
        <v>2</v>
      </c>
      <c r="L198">
        <v>1</v>
      </c>
      <c r="O198">
        <v>2</v>
      </c>
      <c r="Q198">
        <v>1</v>
      </c>
      <c r="T198" t="s">
        <v>542</v>
      </c>
      <c r="U198">
        <v>0</v>
      </c>
    </row>
    <row r="199" spans="3:32" x14ac:dyDescent="0.25">
      <c r="C199" s="157" t="s">
        <v>290</v>
      </c>
      <c r="D199" s="158">
        <v>1228610</v>
      </c>
      <c r="E199" s="158" t="s">
        <v>242</v>
      </c>
      <c r="F199" s="159">
        <v>0</v>
      </c>
      <c r="G199" s="159">
        <v>1</v>
      </c>
      <c r="H199" s="151">
        <v>2</v>
      </c>
      <c r="I199" s="17"/>
      <c r="K199">
        <v>2</v>
      </c>
      <c r="R199">
        <v>1</v>
      </c>
      <c r="T199" t="s">
        <v>545</v>
      </c>
      <c r="U199" s="151">
        <v>0</v>
      </c>
    </row>
    <row r="200" spans="3:32" x14ac:dyDescent="0.25">
      <c r="C200" s="193" t="s">
        <v>221</v>
      </c>
      <c r="D200" s="204">
        <v>865936</v>
      </c>
      <c r="E200" s="158" t="s">
        <v>171</v>
      </c>
      <c r="F200" s="159">
        <v>0</v>
      </c>
      <c r="G200" s="159">
        <v>1</v>
      </c>
      <c r="H200">
        <v>1</v>
      </c>
      <c r="O200">
        <v>1</v>
      </c>
      <c r="P200">
        <v>1</v>
      </c>
      <c r="U200">
        <v>0</v>
      </c>
    </row>
    <row r="201" spans="3:32" x14ac:dyDescent="0.25">
      <c r="C201" s="190" t="s">
        <v>84</v>
      </c>
      <c r="D201" s="20">
        <v>5191378</v>
      </c>
      <c r="E201" s="159" t="s">
        <v>65</v>
      </c>
      <c r="F201" s="13">
        <v>1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spans="3:32" x14ac:dyDescent="0.25">
      <c r="C202" s="191" t="s">
        <v>266</v>
      </c>
      <c r="D202" s="199">
        <v>3334743</v>
      </c>
      <c r="E202" s="159" t="s">
        <v>242</v>
      </c>
      <c r="F202" s="159">
        <v>0</v>
      </c>
      <c r="G202" s="169">
        <v>1</v>
      </c>
      <c r="H202">
        <v>0</v>
      </c>
      <c r="I202" s="17"/>
      <c r="U202">
        <v>0</v>
      </c>
    </row>
    <row r="203" spans="3:32" x14ac:dyDescent="0.25">
      <c r="C203" s="191" t="s">
        <v>259</v>
      </c>
      <c r="D203" s="199">
        <v>5532430</v>
      </c>
      <c r="E203" s="159" t="s">
        <v>242</v>
      </c>
      <c r="F203" s="159">
        <v>0</v>
      </c>
      <c r="G203" s="159">
        <v>1</v>
      </c>
      <c r="H203">
        <v>1</v>
      </c>
      <c r="I203" s="17"/>
      <c r="O203">
        <v>1</v>
      </c>
      <c r="U203">
        <v>0</v>
      </c>
    </row>
    <row r="204" spans="3:32" x14ac:dyDescent="0.25">
      <c r="C204" s="193" t="s">
        <v>217</v>
      </c>
      <c r="D204" s="202">
        <v>4651408</v>
      </c>
      <c r="E204" s="158" t="s">
        <v>171</v>
      </c>
      <c r="F204" s="159">
        <v>0</v>
      </c>
      <c r="G204" s="159">
        <v>1</v>
      </c>
      <c r="H204">
        <v>0</v>
      </c>
      <c r="U204" s="151">
        <v>0</v>
      </c>
    </row>
    <row r="205" spans="3:32" x14ac:dyDescent="0.25">
      <c r="C205" s="191" t="s">
        <v>262</v>
      </c>
      <c r="D205" s="199">
        <v>6283137</v>
      </c>
      <c r="E205" s="159" t="s">
        <v>242</v>
      </c>
      <c r="F205" s="159">
        <v>0</v>
      </c>
      <c r="G205" s="159">
        <v>1</v>
      </c>
      <c r="H205">
        <v>1</v>
      </c>
      <c r="I205" s="17"/>
      <c r="K205">
        <v>2</v>
      </c>
      <c r="O205">
        <v>2</v>
      </c>
      <c r="Q205">
        <v>1</v>
      </c>
      <c r="T205" t="s">
        <v>543</v>
      </c>
      <c r="U205">
        <v>0</v>
      </c>
    </row>
    <row r="206" spans="3:32" ht="15.75" x14ac:dyDescent="0.25">
      <c r="C206" s="195" t="s">
        <v>267</v>
      </c>
      <c r="D206" s="204">
        <v>3318633</v>
      </c>
      <c r="E206" s="159" t="s">
        <v>242</v>
      </c>
      <c r="F206" s="159">
        <v>0</v>
      </c>
      <c r="G206" s="159">
        <v>1</v>
      </c>
      <c r="H206">
        <v>0</v>
      </c>
      <c r="U206">
        <v>0</v>
      </c>
    </row>
    <row r="207" spans="3:32" x14ac:dyDescent="0.25">
      <c r="C207" s="191" t="s">
        <v>257</v>
      </c>
      <c r="D207" s="199">
        <v>3693077</v>
      </c>
      <c r="E207" s="159" t="s">
        <v>242</v>
      </c>
      <c r="F207" s="159">
        <v>0</v>
      </c>
      <c r="G207" s="159">
        <v>1</v>
      </c>
      <c r="H207">
        <v>0</v>
      </c>
      <c r="U207">
        <v>0</v>
      </c>
    </row>
    <row r="208" spans="3:32" x14ac:dyDescent="0.25">
      <c r="C208" s="18" t="s">
        <v>150</v>
      </c>
      <c r="D208" s="19" t="s">
        <v>151</v>
      </c>
      <c r="E208" s="10" t="s">
        <v>148</v>
      </c>
      <c r="F208" s="10">
        <v>0</v>
      </c>
      <c r="G208" s="10">
        <v>1</v>
      </c>
      <c r="H208" s="10">
        <v>1</v>
      </c>
      <c r="I208" s="8"/>
      <c r="J208" s="10"/>
      <c r="K208" s="10">
        <v>1</v>
      </c>
      <c r="L208" s="10">
        <v>1</v>
      </c>
      <c r="M208" s="10"/>
      <c r="N208" s="10"/>
      <c r="O208" s="10"/>
      <c r="P208" s="10"/>
      <c r="Q208" s="10"/>
      <c r="R208" s="10"/>
      <c r="S208" s="10"/>
      <c r="T208" s="10" t="s">
        <v>549</v>
      </c>
      <c r="U208" s="10">
        <v>1</v>
      </c>
      <c r="V208" s="10">
        <v>0</v>
      </c>
      <c r="W208" s="10">
        <v>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/>
      <c r="AD208" s="10"/>
      <c r="AE208" s="10"/>
      <c r="AF208" s="10"/>
    </row>
    <row r="209" spans="3:21" x14ac:dyDescent="0.25">
      <c r="C209" s="193" t="s">
        <v>240</v>
      </c>
      <c r="D209" s="205">
        <v>626247</v>
      </c>
      <c r="E209" s="158" t="s">
        <v>171</v>
      </c>
      <c r="F209" s="159">
        <v>0</v>
      </c>
      <c r="G209" s="159">
        <v>1</v>
      </c>
      <c r="H209">
        <v>2</v>
      </c>
      <c r="I209" s="17"/>
      <c r="K209">
        <v>2</v>
      </c>
      <c r="L209">
        <v>2</v>
      </c>
      <c r="U209">
        <v>0</v>
      </c>
    </row>
  </sheetData>
  <sortState xmlns:xlrd2="http://schemas.microsoft.com/office/spreadsheetml/2017/richdata2" ref="A2:AF209">
    <sortCondition ref="C1:C20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17DC-B7EE-4410-9085-34FDFB11B8BB}">
  <dimension ref="A1:AF209"/>
  <sheetViews>
    <sheetView topLeftCell="A185" workbookViewId="0">
      <selection activeCell="C210" sqref="C210"/>
    </sheetView>
  </sheetViews>
  <sheetFormatPr defaultRowHeight="15" x14ac:dyDescent="0.25"/>
  <cols>
    <col min="3" max="3" width="26.140625" bestFit="1" customWidth="1"/>
    <col min="4" max="4" width="15.140625" customWidth="1"/>
    <col min="6" max="6" width="26.28515625" customWidth="1"/>
    <col min="7" max="7" width="15.5703125" customWidth="1"/>
    <col min="10" max="10" width="10.28515625" bestFit="1" customWidth="1"/>
    <col min="11" max="11" width="19.7109375" bestFit="1" customWidth="1"/>
    <col min="12" max="12" width="22" bestFit="1" customWidth="1"/>
    <col min="13" max="13" width="19.140625" bestFit="1" customWidth="1"/>
    <col min="15" max="15" width="17.42578125" bestFit="1" customWidth="1"/>
    <col min="20" max="20" width="39" customWidth="1"/>
  </cols>
  <sheetData>
    <row r="1" spans="1:31" ht="30" x14ac:dyDescent="0.25">
      <c r="A1" t="s">
        <v>516</v>
      </c>
      <c r="B1" t="s">
        <v>515</v>
      </c>
      <c r="C1" s="1" t="s">
        <v>0</v>
      </c>
      <c r="D1" s="2" t="s">
        <v>1</v>
      </c>
      <c r="E1" s="145" t="s">
        <v>5</v>
      </c>
      <c r="F1" s="188" t="s">
        <v>525</v>
      </c>
      <c r="G1" s="188" t="s">
        <v>526</v>
      </c>
      <c r="H1" s="146" t="s">
        <v>8</v>
      </c>
      <c r="I1" s="146" t="s">
        <v>9</v>
      </c>
      <c r="J1" s="146" t="s">
        <v>10</v>
      </c>
      <c r="K1" s="146" t="s">
        <v>11</v>
      </c>
      <c r="L1" s="146" t="s">
        <v>12</v>
      </c>
      <c r="M1" s="146" t="s">
        <v>13</v>
      </c>
      <c r="N1" s="146" t="s">
        <v>14</v>
      </c>
      <c r="O1" s="146" t="s">
        <v>15</v>
      </c>
      <c r="P1" s="146" t="s">
        <v>16</v>
      </c>
      <c r="Q1" s="146" t="s">
        <v>17</v>
      </c>
      <c r="R1" s="146" t="s">
        <v>18</v>
      </c>
      <c r="S1" s="146" t="s">
        <v>19</v>
      </c>
      <c r="T1" s="146" t="s">
        <v>20</v>
      </c>
      <c r="U1" s="27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20</v>
      </c>
      <c r="AD1" s="147" t="s">
        <v>29</v>
      </c>
      <c r="AE1" s="147" t="s">
        <v>30</v>
      </c>
    </row>
    <row r="2" spans="1:31" x14ac:dyDescent="0.25">
      <c r="C2" s="151" t="s">
        <v>115</v>
      </c>
      <c r="D2" s="167">
        <v>6344639</v>
      </c>
      <c r="E2" s="159" t="s">
        <v>65</v>
      </c>
      <c r="F2" s="10">
        <v>0</v>
      </c>
      <c r="G2" s="10">
        <v>1</v>
      </c>
      <c r="H2" s="10">
        <v>0</v>
      </c>
      <c r="I2" s="10"/>
      <c r="J2" s="10"/>
      <c r="K2" s="10"/>
      <c r="L2" s="10"/>
      <c r="M2" s="10"/>
      <c r="N2" s="10"/>
      <c r="O2" s="10"/>
      <c r="P2" s="10"/>
      <c r="Q2" s="10">
        <v>1</v>
      </c>
      <c r="R2" s="10"/>
      <c r="S2" s="10"/>
      <c r="T2" s="10"/>
      <c r="U2" s="10">
        <v>0</v>
      </c>
      <c r="V2" s="10"/>
      <c r="W2" s="10"/>
      <c r="X2" s="10"/>
      <c r="Y2" s="10"/>
      <c r="Z2" s="10"/>
      <c r="AA2" s="10"/>
      <c r="AB2" s="10"/>
      <c r="AC2" s="10"/>
      <c r="AD2" s="10">
        <v>1</v>
      </c>
      <c r="AE2" s="10">
        <v>2</v>
      </c>
    </row>
    <row r="3" spans="1:31" x14ac:dyDescent="0.25">
      <c r="C3" s="150" t="s">
        <v>202</v>
      </c>
      <c r="D3" s="149">
        <v>2192350</v>
      </c>
      <c r="E3" s="150" t="s">
        <v>171</v>
      </c>
      <c r="F3" s="159">
        <v>0</v>
      </c>
      <c r="G3" s="159">
        <v>1</v>
      </c>
      <c r="H3" s="150">
        <v>2</v>
      </c>
      <c r="I3" s="150"/>
      <c r="J3" s="150"/>
      <c r="K3" s="150">
        <v>2</v>
      </c>
      <c r="L3" s="150">
        <v>2</v>
      </c>
      <c r="M3" s="150"/>
      <c r="N3" s="150"/>
      <c r="O3" s="150">
        <v>2</v>
      </c>
      <c r="P3" s="150"/>
      <c r="Q3" s="150"/>
      <c r="R3" s="150"/>
      <c r="S3" s="150"/>
      <c r="T3" s="150" t="s">
        <v>203</v>
      </c>
      <c r="U3" s="150">
        <v>2</v>
      </c>
      <c r="V3" s="150"/>
      <c r="W3" s="150"/>
      <c r="X3" s="150"/>
      <c r="Y3" s="150"/>
      <c r="Z3" s="150">
        <v>2</v>
      </c>
      <c r="AA3" s="150">
        <v>2</v>
      </c>
      <c r="AB3" s="150">
        <v>1</v>
      </c>
      <c r="AC3" s="150" t="s">
        <v>537</v>
      </c>
      <c r="AD3" s="150"/>
      <c r="AE3" s="150"/>
    </row>
    <row r="4" spans="1:31" x14ac:dyDescent="0.25">
      <c r="C4" s="151" t="s">
        <v>104</v>
      </c>
      <c r="D4" s="167">
        <v>2293334</v>
      </c>
      <c r="E4" s="159" t="s">
        <v>65</v>
      </c>
      <c r="F4" s="10">
        <v>0</v>
      </c>
      <c r="G4" s="10">
        <v>1</v>
      </c>
      <c r="H4" s="10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v>0</v>
      </c>
      <c r="V4" s="10"/>
      <c r="W4" s="10"/>
      <c r="X4" s="10"/>
      <c r="Y4" s="10"/>
      <c r="Z4" s="10"/>
      <c r="AA4" s="10"/>
      <c r="AB4" s="10"/>
      <c r="AC4" s="10"/>
      <c r="AD4" s="10">
        <v>1</v>
      </c>
      <c r="AE4" s="10">
        <v>2</v>
      </c>
    </row>
    <row r="5" spans="1:31" x14ac:dyDescent="0.25">
      <c r="C5" s="151" t="s">
        <v>223</v>
      </c>
      <c r="D5" s="152">
        <v>3925175</v>
      </c>
      <c r="E5" s="164" t="s">
        <v>171</v>
      </c>
      <c r="F5" s="159">
        <v>0</v>
      </c>
      <c r="G5" s="159">
        <v>1</v>
      </c>
      <c r="H5" s="151">
        <v>1</v>
      </c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>
        <v>0</v>
      </c>
      <c r="V5" s="151"/>
      <c r="W5" s="151"/>
      <c r="X5" s="151"/>
      <c r="Y5" s="151"/>
      <c r="Z5" s="151"/>
      <c r="AA5" s="151"/>
      <c r="AB5" s="151"/>
      <c r="AC5" s="151"/>
      <c r="AD5" s="151"/>
      <c r="AE5" s="151"/>
    </row>
    <row r="6" spans="1:31" x14ac:dyDescent="0.25">
      <c r="C6" s="148" t="s">
        <v>184</v>
      </c>
      <c r="D6" s="149">
        <v>1081580</v>
      </c>
      <c r="E6" s="159" t="s">
        <v>171</v>
      </c>
      <c r="F6" s="159">
        <v>0</v>
      </c>
      <c r="G6" s="159">
        <v>1</v>
      </c>
      <c r="H6">
        <v>0</v>
      </c>
      <c r="U6">
        <v>0</v>
      </c>
    </row>
    <row r="7" spans="1:31" x14ac:dyDescent="0.25">
      <c r="C7" s="153" t="s">
        <v>218</v>
      </c>
      <c r="D7" s="154">
        <v>5901224</v>
      </c>
      <c r="E7" s="164" t="s">
        <v>171</v>
      </c>
      <c r="F7" s="158">
        <v>1</v>
      </c>
      <c r="G7" s="159">
        <v>1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</row>
    <row r="8" spans="1:31" x14ac:dyDescent="0.25">
      <c r="C8" s="151" t="s">
        <v>137</v>
      </c>
      <c r="D8" s="167">
        <v>6661252</v>
      </c>
      <c r="E8" s="159" t="s">
        <v>65</v>
      </c>
      <c r="F8" s="10">
        <v>0</v>
      </c>
      <c r="G8" s="10">
        <v>1</v>
      </c>
      <c r="H8" s="10"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0</v>
      </c>
      <c r="V8" s="10"/>
      <c r="W8" s="10"/>
      <c r="X8" s="10"/>
      <c r="Y8" s="10"/>
      <c r="Z8" s="10"/>
      <c r="AA8" s="10"/>
      <c r="AB8" s="10"/>
      <c r="AC8" s="10"/>
      <c r="AD8" s="10">
        <v>1</v>
      </c>
      <c r="AE8" s="10">
        <v>2</v>
      </c>
    </row>
    <row r="9" spans="1:31" x14ac:dyDescent="0.25">
      <c r="C9" s="153" t="s">
        <v>75</v>
      </c>
      <c r="D9" s="164">
        <v>4028469</v>
      </c>
      <c r="E9" s="159" t="s">
        <v>65</v>
      </c>
      <c r="F9" s="10">
        <v>0</v>
      </c>
      <c r="G9" s="10">
        <v>1</v>
      </c>
      <c r="H9" s="10">
        <v>1</v>
      </c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>
        <v>0</v>
      </c>
      <c r="V9" s="10"/>
      <c r="W9" s="10"/>
      <c r="X9" s="10"/>
      <c r="Y9" s="10"/>
      <c r="Z9" s="10"/>
      <c r="AA9" s="10"/>
      <c r="AB9" s="10"/>
      <c r="AC9" s="10"/>
      <c r="AD9" s="10"/>
      <c r="AE9" s="10">
        <v>2</v>
      </c>
    </row>
    <row r="10" spans="1:31" x14ac:dyDescent="0.25">
      <c r="C10" s="155" t="s">
        <v>199</v>
      </c>
      <c r="D10" s="156">
        <v>4333565</v>
      </c>
      <c r="E10" s="158" t="s">
        <v>171</v>
      </c>
      <c r="F10" s="159">
        <v>0</v>
      </c>
      <c r="G10" s="159">
        <v>1</v>
      </c>
      <c r="H10">
        <v>2</v>
      </c>
      <c r="K10">
        <v>2</v>
      </c>
      <c r="O10">
        <v>2</v>
      </c>
      <c r="T10" t="s">
        <v>200</v>
      </c>
      <c r="U10">
        <v>1</v>
      </c>
      <c r="AB10">
        <v>1</v>
      </c>
    </row>
    <row r="11" spans="1:31" x14ac:dyDescent="0.25">
      <c r="C11" s="151" t="s">
        <v>86</v>
      </c>
      <c r="D11" s="167">
        <v>2742922</v>
      </c>
      <c r="E11" s="159" t="s">
        <v>65</v>
      </c>
      <c r="F11" s="10">
        <v>0</v>
      </c>
      <c r="G11" s="10">
        <v>1</v>
      </c>
      <c r="H11" s="10">
        <v>1</v>
      </c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>
        <v>0</v>
      </c>
      <c r="V11" s="10"/>
      <c r="W11" s="10"/>
      <c r="X11" s="10"/>
      <c r="Y11" s="10"/>
      <c r="Z11" s="10"/>
      <c r="AA11" s="10"/>
      <c r="AB11" s="10"/>
      <c r="AC11" s="10"/>
      <c r="AD11" s="10"/>
      <c r="AE11" s="10">
        <v>2</v>
      </c>
    </row>
    <row r="12" spans="1:31" x14ac:dyDescent="0.25">
      <c r="C12" s="151" t="s">
        <v>120</v>
      </c>
      <c r="D12" s="167">
        <v>6673787</v>
      </c>
      <c r="E12" s="159" t="s">
        <v>65</v>
      </c>
      <c r="F12" s="10">
        <v>0</v>
      </c>
      <c r="G12" s="10">
        <v>1</v>
      </c>
      <c r="H12" s="10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0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5">
      <c r="C13" s="151" t="s">
        <v>127</v>
      </c>
      <c r="D13" s="164">
        <v>4196956</v>
      </c>
      <c r="E13" s="159" t="s">
        <v>65</v>
      </c>
      <c r="F13" s="10">
        <v>0</v>
      </c>
      <c r="G13" s="10">
        <v>1</v>
      </c>
      <c r="H13" s="10">
        <v>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</v>
      </c>
      <c r="V13" s="10">
        <v>1</v>
      </c>
      <c r="W13" s="10"/>
      <c r="X13" s="10"/>
      <c r="Y13" s="10"/>
      <c r="Z13" s="10"/>
      <c r="AA13" s="10"/>
      <c r="AB13" s="10"/>
      <c r="AC13" s="10"/>
      <c r="AD13" s="10">
        <v>1</v>
      </c>
      <c r="AE13" s="10">
        <v>2</v>
      </c>
    </row>
    <row r="14" spans="1:31" x14ac:dyDescent="0.25">
      <c r="C14" s="153" t="s">
        <v>56</v>
      </c>
      <c r="D14" s="164">
        <v>6515626</v>
      </c>
      <c r="E14" s="159" t="s">
        <v>32</v>
      </c>
      <c r="F14" s="10">
        <v>0</v>
      </c>
      <c r="G14" s="10">
        <v>1</v>
      </c>
      <c r="H14" s="10">
        <v>0</v>
      </c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>
        <v>0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5">
      <c r="C15" s="153" t="s">
        <v>227</v>
      </c>
      <c r="D15" s="154">
        <v>4839122</v>
      </c>
      <c r="E15" s="164" t="s">
        <v>171</v>
      </c>
      <c r="F15" s="159">
        <v>0</v>
      </c>
      <c r="G15" s="159">
        <v>1</v>
      </c>
      <c r="H15" s="151">
        <v>1</v>
      </c>
      <c r="I15" s="151"/>
      <c r="J15" s="151"/>
      <c r="K15" s="151"/>
      <c r="L15" s="151"/>
      <c r="M15" s="151"/>
      <c r="N15" s="151"/>
      <c r="O15" s="151">
        <v>1</v>
      </c>
      <c r="P15" s="151">
        <v>1</v>
      </c>
      <c r="Q15" s="151"/>
      <c r="R15" s="151"/>
      <c r="S15" s="151"/>
      <c r="T15" s="151"/>
      <c r="U15" s="151">
        <v>0</v>
      </c>
      <c r="W15" s="151"/>
      <c r="X15" s="151"/>
      <c r="Y15" s="151"/>
      <c r="Z15" s="151"/>
      <c r="AA15" s="151"/>
      <c r="AB15" s="151"/>
      <c r="AC15" s="151"/>
      <c r="AD15" s="151"/>
      <c r="AE15" s="151"/>
    </row>
    <row r="16" spans="1:31" x14ac:dyDescent="0.25">
      <c r="C16" s="151" t="s">
        <v>59</v>
      </c>
      <c r="D16" s="167">
        <v>4223888</v>
      </c>
      <c r="E16" s="159" t="s">
        <v>40</v>
      </c>
      <c r="F16" s="13">
        <v>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3:32" x14ac:dyDescent="0.25">
      <c r="C17" s="151" t="s">
        <v>211</v>
      </c>
      <c r="D17" s="152">
        <v>6349772</v>
      </c>
      <c r="E17" s="164" t="s">
        <v>171</v>
      </c>
      <c r="F17" s="159">
        <v>0</v>
      </c>
      <c r="G17" s="159">
        <v>1</v>
      </c>
      <c r="H17" s="151">
        <v>1</v>
      </c>
      <c r="I17" s="151"/>
      <c r="J17" s="151"/>
      <c r="K17" s="151">
        <v>1</v>
      </c>
      <c r="L17" s="151">
        <v>1</v>
      </c>
      <c r="M17" s="151"/>
      <c r="N17" s="151"/>
      <c r="O17" s="151">
        <v>1</v>
      </c>
      <c r="P17" s="151"/>
      <c r="Q17" s="151"/>
      <c r="R17" s="151"/>
      <c r="S17" s="151"/>
      <c r="T17" s="151"/>
      <c r="U17" s="151">
        <v>0</v>
      </c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</row>
    <row r="18" spans="3:32" x14ac:dyDescent="0.25">
      <c r="C18" s="151" t="s">
        <v>88</v>
      </c>
      <c r="D18" s="167">
        <v>2008227</v>
      </c>
      <c r="E18" s="159" t="s">
        <v>65</v>
      </c>
      <c r="F18" s="10">
        <v>0</v>
      </c>
      <c r="G18" s="10">
        <v>1</v>
      </c>
      <c r="H18" s="10">
        <v>1</v>
      </c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>
        <v>0</v>
      </c>
      <c r="V18" s="10"/>
      <c r="W18" s="10"/>
      <c r="X18" s="10"/>
      <c r="Y18" s="10"/>
      <c r="Z18" s="10"/>
      <c r="AA18" s="10"/>
      <c r="AB18" s="10"/>
      <c r="AC18" s="10"/>
      <c r="AD18" s="10"/>
      <c r="AE18" s="10">
        <v>2</v>
      </c>
    </row>
    <row r="19" spans="3:32" x14ac:dyDescent="0.25">
      <c r="C19" s="264" t="s">
        <v>153</v>
      </c>
      <c r="D19" s="10">
        <v>3695498</v>
      </c>
      <c r="E19" s="10" t="s">
        <v>148</v>
      </c>
      <c r="F19" s="10">
        <v>0</v>
      </c>
      <c r="G19" s="10">
        <v>1</v>
      </c>
      <c r="H19" s="10">
        <v>1</v>
      </c>
      <c r="I19" s="10"/>
      <c r="J19" s="10"/>
      <c r="K19" s="10">
        <v>1</v>
      </c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/>
      <c r="AD19" s="10">
        <v>1</v>
      </c>
      <c r="AE19" s="10">
        <v>1</v>
      </c>
      <c r="AF19" s="10"/>
    </row>
    <row r="20" spans="3:32" x14ac:dyDescent="0.25">
      <c r="C20" s="157" t="s">
        <v>195</v>
      </c>
      <c r="D20" s="158">
        <v>762097</v>
      </c>
      <c r="E20" s="159" t="s">
        <v>171</v>
      </c>
      <c r="F20" s="159">
        <v>0</v>
      </c>
      <c r="G20" s="159">
        <v>1</v>
      </c>
      <c r="H20">
        <v>0</v>
      </c>
      <c r="U20">
        <v>0</v>
      </c>
    </row>
    <row r="21" spans="3:32" x14ac:dyDescent="0.25">
      <c r="C21" s="159" t="s">
        <v>264</v>
      </c>
      <c r="D21" s="149">
        <v>1764235</v>
      </c>
      <c r="E21" s="159" t="s">
        <v>242</v>
      </c>
      <c r="F21" s="159">
        <v>0</v>
      </c>
      <c r="G21" s="159">
        <v>1</v>
      </c>
      <c r="H21">
        <v>0</v>
      </c>
      <c r="U21">
        <v>0</v>
      </c>
    </row>
    <row r="22" spans="3:32" x14ac:dyDescent="0.25">
      <c r="C22" s="151" t="s">
        <v>103</v>
      </c>
      <c r="D22" s="167">
        <v>6594458</v>
      </c>
      <c r="E22" s="159" t="s">
        <v>65</v>
      </c>
      <c r="F22" s="13">
        <v>1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3:32" x14ac:dyDescent="0.25">
      <c r="C23" s="148" t="s">
        <v>224</v>
      </c>
      <c r="D23" s="149">
        <v>1658581</v>
      </c>
      <c r="E23" s="159" t="s">
        <v>171</v>
      </c>
      <c r="F23" s="159">
        <v>0</v>
      </c>
      <c r="G23" s="159">
        <v>1</v>
      </c>
      <c r="H23" s="165">
        <v>2</v>
      </c>
      <c r="I23" s="222">
        <v>2</v>
      </c>
      <c r="J23" s="165">
        <v>1</v>
      </c>
      <c r="K23" s="165">
        <v>2</v>
      </c>
      <c r="L23" s="165">
        <v>1</v>
      </c>
      <c r="M23" s="165"/>
      <c r="N23" s="165"/>
      <c r="O23" s="165"/>
      <c r="P23" s="165">
        <v>2</v>
      </c>
      <c r="Q23" s="165"/>
      <c r="R23" s="165"/>
      <c r="S23" s="165"/>
      <c r="T23" s="165" t="s">
        <v>539</v>
      </c>
      <c r="U23" s="165">
        <v>0</v>
      </c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</row>
    <row r="24" spans="3:32" x14ac:dyDescent="0.25">
      <c r="C24" s="157" t="s">
        <v>192</v>
      </c>
      <c r="D24" s="160">
        <v>5425370</v>
      </c>
      <c r="E24" s="158" t="s">
        <v>171</v>
      </c>
      <c r="F24" s="159">
        <v>0</v>
      </c>
      <c r="G24" s="159">
        <v>1</v>
      </c>
      <c r="H24">
        <v>2</v>
      </c>
      <c r="M24">
        <v>2</v>
      </c>
      <c r="O24">
        <v>2</v>
      </c>
      <c r="T24" t="s">
        <v>193</v>
      </c>
      <c r="U24">
        <v>0</v>
      </c>
    </row>
    <row r="25" spans="3:32" x14ac:dyDescent="0.25">
      <c r="C25" s="148" t="s">
        <v>252</v>
      </c>
      <c r="D25" s="149">
        <v>1743204</v>
      </c>
      <c r="E25" s="159" t="s">
        <v>242</v>
      </c>
      <c r="F25" s="159">
        <v>0</v>
      </c>
      <c r="G25" s="159">
        <v>1</v>
      </c>
      <c r="H25">
        <v>3</v>
      </c>
      <c r="K25">
        <v>2</v>
      </c>
      <c r="M25">
        <v>3</v>
      </c>
      <c r="O25">
        <v>2</v>
      </c>
      <c r="P25">
        <v>2</v>
      </c>
      <c r="T25" t="s">
        <v>556</v>
      </c>
      <c r="U25">
        <v>0</v>
      </c>
    </row>
    <row r="26" spans="3:32" ht="150" x14ac:dyDescent="0.25">
      <c r="C26" s="153" t="s">
        <v>233</v>
      </c>
      <c r="D26" s="161">
        <v>6124037</v>
      </c>
      <c r="E26" s="164" t="s">
        <v>171</v>
      </c>
      <c r="F26" s="159">
        <v>0</v>
      </c>
      <c r="G26" s="159">
        <v>1</v>
      </c>
      <c r="H26" s="151">
        <v>2</v>
      </c>
      <c r="I26" s="151">
        <v>2</v>
      </c>
      <c r="J26" s="151">
        <v>2</v>
      </c>
      <c r="K26" s="151"/>
      <c r="L26" s="151">
        <v>2</v>
      </c>
      <c r="M26" s="151">
        <v>3</v>
      </c>
      <c r="N26" s="151"/>
      <c r="O26" s="151"/>
      <c r="P26" s="151">
        <v>2</v>
      </c>
      <c r="Q26" s="151"/>
      <c r="R26" s="151"/>
      <c r="S26" s="151"/>
      <c r="T26" s="224" t="s">
        <v>553</v>
      </c>
      <c r="U26" s="151">
        <v>1</v>
      </c>
      <c r="V26" s="151"/>
      <c r="W26" s="151"/>
      <c r="X26" s="151">
        <v>1</v>
      </c>
      <c r="Y26" s="151"/>
      <c r="Z26" s="151">
        <v>1</v>
      </c>
      <c r="AA26" s="151"/>
      <c r="AB26" s="151"/>
      <c r="AC26" s="151"/>
      <c r="AD26" s="151"/>
      <c r="AE26" s="151"/>
    </row>
    <row r="27" spans="3:32" x14ac:dyDescent="0.25">
      <c r="C27" s="182" t="s">
        <v>96</v>
      </c>
      <c r="D27" s="167">
        <v>4270218</v>
      </c>
      <c r="E27" s="159" t="s">
        <v>65</v>
      </c>
      <c r="F27" s="10">
        <v>0</v>
      </c>
      <c r="G27" s="10">
        <v>1</v>
      </c>
      <c r="H27" s="10">
        <v>1</v>
      </c>
      <c r="I27" s="10"/>
      <c r="J27" s="10"/>
      <c r="K27" s="10">
        <v>1</v>
      </c>
      <c r="L27" s="10"/>
      <c r="M27" s="10"/>
      <c r="N27" s="10"/>
      <c r="O27" s="10">
        <v>1</v>
      </c>
      <c r="P27" s="10"/>
      <c r="Q27" s="10">
        <v>1</v>
      </c>
      <c r="R27" s="10"/>
      <c r="S27" s="10"/>
      <c r="T27" s="10"/>
      <c r="U27" s="10">
        <v>0</v>
      </c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</row>
    <row r="28" spans="3:32" x14ac:dyDescent="0.25">
      <c r="C28" s="265" t="s">
        <v>146</v>
      </c>
      <c r="D28" s="266" t="s">
        <v>147</v>
      </c>
      <c r="E28" s="10" t="s">
        <v>148</v>
      </c>
      <c r="F28" s="10">
        <v>0</v>
      </c>
      <c r="G28" s="10">
        <v>1</v>
      </c>
      <c r="H28" s="10"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/>
      <c r="AD28" s="10"/>
      <c r="AE28" s="10">
        <v>0</v>
      </c>
      <c r="AF28" s="10"/>
    </row>
    <row r="29" spans="3:32" x14ac:dyDescent="0.25">
      <c r="C29" s="148" t="s">
        <v>177</v>
      </c>
      <c r="D29" s="149">
        <v>2024736</v>
      </c>
      <c r="E29" s="159" t="s">
        <v>171</v>
      </c>
      <c r="F29" s="159">
        <v>0</v>
      </c>
      <c r="G29" s="169">
        <v>0</v>
      </c>
      <c r="H29">
        <v>1</v>
      </c>
      <c r="K29">
        <v>1</v>
      </c>
      <c r="M29">
        <v>1</v>
      </c>
      <c r="O29">
        <v>1</v>
      </c>
      <c r="U29">
        <v>0</v>
      </c>
    </row>
    <row r="30" spans="3:32" x14ac:dyDescent="0.25">
      <c r="C30" s="148" t="s">
        <v>244</v>
      </c>
      <c r="D30" s="149">
        <v>2363434</v>
      </c>
      <c r="E30" s="179" t="s">
        <v>242</v>
      </c>
      <c r="F30" s="179">
        <v>1</v>
      </c>
      <c r="G30" s="179">
        <v>1</v>
      </c>
      <c r="H30">
        <v>2</v>
      </c>
      <c r="L30">
        <v>2</v>
      </c>
      <c r="O30">
        <v>2</v>
      </c>
      <c r="U30">
        <v>0</v>
      </c>
    </row>
    <row r="31" spans="3:32" x14ac:dyDescent="0.25">
      <c r="C31" s="169" t="s">
        <v>38</v>
      </c>
      <c r="D31" s="169">
        <v>445884</v>
      </c>
      <c r="E31" s="169" t="s">
        <v>32</v>
      </c>
      <c r="F31" s="13">
        <v>1</v>
      </c>
      <c r="G31" s="13">
        <v>1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3:32" x14ac:dyDescent="0.25">
      <c r="C32" s="162" t="s">
        <v>269</v>
      </c>
      <c r="D32" s="163">
        <v>6150830</v>
      </c>
      <c r="E32" s="178" t="s">
        <v>242</v>
      </c>
      <c r="F32" s="159">
        <v>0</v>
      </c>
      <c r="G32" s="159">
        <v>1</v>
      </c>
      <c r="H32" s="178">
        <v>2</v>
      </c>
      <c r="I32" s="150"/>
      <c r="J32" s="150"/>
      <c r="K32" s="150">
        <v>2</v>
      </c>
      <c r="L32" s="150"/>
      <c r="M32" s="150">
        <v>2</v>
      </c>
      <c r="N32" s="150"/>
      <c r="O32" s="150"/>
      <c r="P32" s="150"/>
      <c r="Q32" s="150">
        <v>1</v>
      </c>
      <c r="R32" s="150"/>
      <c r="S32" s="150"/>
      <c r="T32" s="150"/>
      <c r="U32" s="150">
        <v>0</v>
      </c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</row>
    <row r="33" spans="3:32" x14ac:dyDescent="0.25">
      <c r="C33" s="153" t="s">
        <v>287</v>
      </c>
      <c r="D33" s="164">
        <v>2581772</v>
      </c>
      <c r="E33" s="164" t="s">
        <v>242</v>
      </c>
      <c r="F33" s="159">
        <v>0</v>
      </c>
      <c r="G33" s="159">
        <v>1</v>
      </c>
      <c r="H33" s="151">
        <v>1</v>
      </c>
      <c r="I33" s="151"/>
      <c r="J33" s="151"/>
      <c r="K33" s="151"/>
      <c r="L33" s="151"/>
      <c r="M33" s="151"/>
      <c r="N33" s="151"/>
      <c r="O33" s="151">
        <v>1</v>
      </c>
      <c r="P33" s="151"/>
      <c r="Q33" s="151"/>
      <c r="R33" s="151"/>
      <c r="S33" s="151"/>
      <c r="T33" s="151"/>
      <c r="U33" s="151">
        <v>0</v>
      </c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</row>
    <row r="34" spans="3:32" x14ac:dyDescent="0.25">
      <c r="C34" s="148" t="s">
        <v>250</v>
      </c>
      <c r="D34" s="149">
        <v>5027608</v>
      </c>
      <c r="E34" s="159" t="s">
        <v>242</v>
      </c>
      <c r="F34" s="159">
        <v>0</v>
      </c>
      <c r="G34" s="159">
        <v>1</v>
      </c>
      <c r="H34">
        <v>1</v>
      </c>
      <c r="K34">
        <v>1</v>
      </c>
      <c r="U34">
        <v>0</v>
      </c>
    </row>
    <row r="35" spans="3:32" x14ac:dyDescent="0.25">
      <c r="C35" s="167" t="s">
        <v>168</v>
      </c>
      <c r="D35" s="267">
        <v>6666857</v>
      </c>
      <c r="E35" s="10" t="s">
        <v>148</v>
      </c>
      <c r="F35" s="10">
        <v>0</v>
      </c>
      <c r="G35" s="10">
        <v>1</v>
      </c>
      <c r="H35" s="10">
        <v>1</v>
      </c>
      <c r="I35" s="10"/>
      <c r="J35" s="10"/>
      <c r="K35" s="10">
        <v>1</v>
      </c>
      <c r="L35" s="10">
        <v>1</v>
      </c>
      <c r="M35" s="10"/>
      <c r="N35" s="10"/>
      <c r="O35" s="10">
        <v>1</v>
      </c>
      <c r="P35" s="10">
        <v>1</v>
      </c>
      <c r="Q35" s="10">
        <v>1</v>
      </c>
      <c r="R35" s="10"/>
      <c r="S35" s="10"/>
      <c r="T35" s="10"/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/>
      <c r="AD35" s="10"/>
      <c r="AE35" s="10">
        <v>1</v>
      </c>
      <c r="AF35" s="10"/>
    </row>
    <row r="36" spans="3:32" x14ac:dyDescent="0.25">
      <c r="C36" s="151" t="s">
        <v>58</v>
      </c>
      <c r="D36" s="183">
        <v>6587602</v>
      </c>
      <c r="E36" s="159" t="s">
        <v>32</v>
      </c>
      <c r="F36" s="13">
        <v>1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3:32" x14ac:dyDescent="0.25">
      <c r="C37" s="148" t="s">
        <v>255</v>
      </c>
      <c r="D37" s="149">
        <v>4195624</v>
      </c>
      <c r="E37" s="159" t="s">
        <v>242</v>
      </c>
      <c r="F37" s="159">
        <v>0</v>
      </c>
      <c r="G37" s="159">
        <v>1</v>
      </c>
      <c r="H37">
        <v>1</v>
      </c>
      <c r="K37">
        <v>1</v>
      </c>
      <c r="O37">
        <v>1</v>
      </c>
      <c r="U37">
        <v>0</v>
      </c>
    </row>
    <row r="38" spans="3:32" x14ac:dyDescent="0.25">
      <c r="C38" s="165" t="s">
        <v>210</v>
      </c>
      <c r="D38" s="156">
        <v>4618189</v>
      </c>
      <c r="E38" t="s">
        <v>171</v>
      </c>
      <c r="F38" s="159">
        <v>0</v>
      </c>
      <c r="G38" s="159">
        <v>1</v>
      </c>
      <c r="H38">
        <v>2</v>
      </c>
      <c r="K38">
        <v>2</v>
      </c>
      <c r="U38">
        <v>1</v>
      </c>
      <c r="Z38">
        <v>1</v>
      </c>
    </row>
    <row r="39" spans="3:32" x14ac:dyDescent="0.25">
      <c r="C39" s="157" t="s">
        <v>51</v>
      </c>
      <c r="D39" s="183">
        <v>4366069</v>
      </c>
      <c r="E39" s="159" t="s">
        <v>32</v>
      </c>
      <c r="F39" s="13">
        <v>1</v>
      </c>
      <c r="G39" s="13">
        <v>1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3:32" x14ac:dyDescent="0.25">
      <c r="C40" s="184" t="s">
        <v>156</v>
      </c>
      <c r="D40" s="268" t="s">
        <v>157</v>
      </c>
      <c r="E40" s="10" t="s">
        <v>148</v>
      </c>
      <c r="F40" s="10">
        <v>0</v>
      </c>
      <c r="G40" s="10">
        <v>1</v>
      </c>
      <c r="H40" s="10"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/>
      <c r="AD40" s="10">
        <v>0</v>
      </c>
      <c r="AE40" s="10">
        <v>0</v>
      </c>
      <c r="AF40" s="10"/>
    </row>
    <row r="41" spans="3:32" x14ac:dyDescent="0.25">
      <c r="C41" s="148" t="s">
        <v>260</v>
      </c>
      <c r="D41" s="149">
        <v>6384553</v>
      </c>
      <c r="E41" s="159" t="s">
        <v>242</v>
      </c>
      <c r="F41" s="159">
        <v>0</v>
      </c>
      <c r="G41" s="159">
        <v>1</v>
      </c>
      <c r="H41">
        <v>0</v>
      </c>
      <c r="U41">
        <v>0</v>
      </c>
    </row>
    <row r="42" spans="3:32" x14ac:dyDescent="0.25">
      <c r="C42" s="151" t="s">
        <v>119</v>
      </c>
      <c r="D42" s="167">
        <v>4784733</v>
      </c>
      <c r="E42" s="159" t="s">
        <v>65</v>
      </c>
      <c r="F42" s="10">
        <v>0</v>
      </c>
      <c r="G42" s="10">
        <v>1</v>
      </c>
      <c r="H42" s="10">
        <v>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0</v>
      </c>
      <c r="V42" s="10"/>
      <c r="W42" s="10"/>
      <c r="X42" s="10"/>
      <c r="Y42" s="10"/>
      <c r="Z42" s="10"/>
      <c r="AA42" s="10"/>
      <c r="AB42" s="10"/>
      <c r="AC42" s="10"/>
      <c r="AD42" s="10"/>
      <c r="AE42" s="10">
        <v>2</v>
      </c>
    </row>
    <row r="43" spans="3:32" x14ac:dyDescent="0.25">
      <c r="C43" s="184" t="s">
        <v>154</v>
      </c>
      <c r="D43" s="268" t="s">
        <v>155</v>
      </c>
      <c r="E43" s="10" t="s">
        <v>148</v>
      </c>
      <c r="F43" s="10">
        <v>0</v>
      </c>
      <c r="G43" s="10">
        <v>1</v>
      </c>
      <c r="H43" s="10">
        <v>1</v>
      </c>
      <c r="I43" s="10"/>
      <c r="J43" s="10"/>
      <c r="K43" s="10">
        <v>1</v>
      </c>
      <c r="L43" s="10"/>
      <c r="M43" s="10">
        <v>1</v>
      </c>
      <c r="N43" s="10"/>
      <c r="O43" s="10">
        <v>1</v>
      </c>
      <c r="P43" s="10"/>
      <c r="Q43" s="10">
        <v>1</v>
      </c>
      <c r="R43" s="10"/>
      <c r="S43" s="10"/>
      <c r="T43" s="10"/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/>
      <c r="AD43" s="10">
        <v>1</v>
      </c>
      <c r="AE43" s="10">
        <v>2</v>
      </c>
      <c r="AF43" s="10"/>
    </row>
    <row r="44" spans="3:32" x14ac:dyDescent="0.25">
      <c r="C44" s="153" t="s">
        <v>226</v>
      </c>
      <c r="D44" s="154">
        <v>5431737</v>
      </c>
      <c r="E44" s="164" t="s">
        <v>171</v>
      </c>
      <c r="F44" s="159">
        <v>0</v>
      </c>
      <c r="G44" s="159">
        <v>1</v>
      </c>
      <c r="H44" s="151">
        <v>0</v>
      </c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>
        <v>0</v>
      </c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</row>
    <row r="45" spans="3:32" x14ac:dyDescent="0.25">
      <c r="C45" s="159" t="s">
        <v>190</v>
      </c>
      <c r="D45" s="149">
        <v>2250030</v>
      </c>
      <c r="E45" s="159" t="s">
        <v>171</v>
      </c>
      <c r="F45" s="159">
        <v>0</v>
      </c>
      <c r="G45" s="159">
        <v>1</v>
      </c>
      <c r="H45">
        <v>1</v>
      </c>
      <c r="M45">
        <v>1</v>
      </c>
      <c r="O45">
        <v>1</v>
      </c>
      <c r="U45">
        <v>0</v>
      </c>
    </row>
    <row r="46" spans="3:32" x14ac:dyDescent="0.25">
      <c r="C46" s="148" t="s">
        <v>254</v>
      </c>
      <c r="D46" s="149">
        <v>4178252</v>
      </c>
      <c r="E46" s="159" t="s">
        <v>242</v>
      </c>
      <c r="F46" s="158">
        <v>1</v>
      </c>
      <c r="G46" s="159">
        <v>1</v>
      </c>
    </row>
    <row r="47" spans="3:32" x14ac:dyDescent="0.25">
      <c r="C47" s="148" t="s">
        <v>42</v>
      </c>
      <c r="D47" s="159">
        <v>2162352</v>
      </c>
      <c r="E47" s="159" t="s">
        <v>32</v>
      </c>
      <c r="F47" s="13">
        <v>1</v>
      </c>
      <c r="G47" s="13">
        <v>1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3:32" x14ac:dyDescent="0.25">
      <c r="C48" t="s">
        <v>298</v>
      </c>
      <c r="D48" s="166">
        <v>6523086</v>
      </c>
      <c r="E48" s="149" t="s">
        <v>242</v>
      </c>
      <c r="F48" s="159">
        <v>0</v>
      </c>
      <c r="G48" s="159">
        <v>1</v>
      </c>
      <c r="H48">
        <v>0</v>
      </c>
      <c r="U48">
        <v>0</v>
      </c>
    </row>
    <row r="49" spans="3:31" x14ac:dyDescent="0.25">
      <c r="C49" s="148" t="s">
        <v>185</v>
      </c>
      <c r="D49" s="149">
        <v>2071874</v>
      </c>
      <c r="E49" s="159" t="s">
        <v>171</v>
      </c>
      <c r="F49" s="159">
        <v>1</v>
      </c>
      <c r="G49" s="159">
        <v>1</v>
      </c>
    </row>
    <row r="50" spans="3:31" x14ac:dyDescent="0.25">
      <c r="C50" s="221" t="s">
        <v>87</v>
      </c>
      <c r="D50" s="167">
        <v>5334891</v>
      </c>
      <c r="E50" s="159" t="s">
        <v>65</v>
      </c>
      <c r="F50" s="13">
        <v>1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spans="3:31" x14ac:dyDescent="0.25">
      <c r="C51" s="153" t="s">
        <v>106</v>
      </c>
      <c r="D51" s="164">
        <v>4146544</v>
      </c>
      <c r="E51" s="159" t="s">
        <v>65</v>
      </c>
      <c r="F51" s="13">
        <v>1</v>
      </c>
      <c r="G51" s="13">
        <v>1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spans="3:31" x14ac:dyDescent="0.25">
      <c r="C52" s="158" t="s">
        <v>265</v>
      </c>
      <c r="D52" s="160">
        <v>2664848</v>
      </c>
      <c r="E52" s="158" t="s">
        <v>242</v>
      </c>
      <c r="F52" s="159">
        <v>0</v>
      </c>
      <c r="G52" s="159">
        <v>1</v>
      </c>
      <c r="H52">
        <v>0</v>
      </c>
      <c r="U52">
        <v>0</v>
      </c>
    </row>
    <row r="53" spans="3:31" x14ac:dyDescent="0.25">
      <c r="C53" s="151" t="s">
        <v>63</v>
      </c>
      <c r="D53" s="167">
        <v>5395575</v>
      </c>
      <c r="E53" s="159" t="s">
        <v>40</v>
      </c>
      <c r="F53" s="10">
        <v>0</v>
      </c>
      <c r="G53" s="10">
        <v>1</v>
      </c>
      <c r="H53" s="10">
        <v>1</v>
      </c>
      <c r="I53" s="10"/>
      <c r="J53" s="10"/>
      <c r="K53" s="10">
        <v>1</v>
      </c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>
        <v>0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3:31" x14ac:dyDescent="0.25">
      <c r="C54" s="153" t="s">
        <v>124</v>
      </c>
      <c r="D54" s="164">
        <v>4527386</v>
      </c>
      <c r="E54" s="159" t="s">
        <v>65</v>
      </c>
      <c r="F54" s="10">
        <v>0</v>
      </c>
      <c r="G54" s="10">
        <v>1</v>
      </c>
      <c r="H54" s="10">
        <v>1</v>
      </c>
      <c r="I54" s="10"/>
      <c r="J54" s="10"/>
      <c r="K54" s="10">
        <v>1</v>
      </c>
      <c r="L54" s="10"/>
      <c r="M54" s="10">
        <v>1</v>
      </c>
      <c r="N54" s="10"/>
      <c r="O54" s="10">
        <v>1</v>
      </c>
      <c r="P54" s="10"/>
      <c r="Q54" s="10"/>
      <c r="R54" s="10"/>
      <c r="S54" s="10"/>
      <c r="T54" s="10"/>
      <c r="U54" s="10">
        <v>0</v>
      </c>
      <c r="V54" s="10"/>
      <c r="W54" s="10"/>
      <c r="X54" s="10"/>
      <c r="Y54" s="10"/>
      <c r="Z54" s="10"/>
      <c r="AA54" s="10"/>
      <c r="AB54" s="10"/>
      <c r="AC54" s="10"/>
      <c r="AD54" s="10"/>
      <c r="AE54" s="10">
        <v>2</v>
      </c>
    </row>
    <row r="55" spans="3:31" x14ac:dyDescent="0.25">
      <c r="C55" s="164" t="s">
        <v>39</v>
      </c>
      <c r="D55" s="164">
        <v>4851478</v>
      </c>
      <c r="E55" s="159" t="s">
        <v>40</v>
      </c>
      <c r="F55" s="10">
        <v>0</v>
      </c>
      <c r="G55" s="10">
        <v>1</v>
      </c>
      <c r="H55" s="10">
        <v>1</v>
      </c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>
        <v>0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3:31" x14ac:dyDescent="0.25">
      <c r="C56" s="153" t="s">
        <v>105</v>
      </c>
      <c r="D56" s="164">
        <v>6600811</v>
      </c>
      <c r="E56" s="159" t="s">
        <v>65</v>
      </c>
      <c r="F56" s="10">
        <v>0</v>
      </c>
      <c r="G56" s="10">
        <v>1</v>
      </c>
      <c r="H56" s="10">
        <v>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0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3:31" x14ac:dyDescent="0.25">
      <c r="C57" s="151" t="s">
        <v>135</v>
      </c>
      <c r="D57" s="167">
        <v>1535492</v>
      </c>
      <c r="E57" s="159" t="s">
        <v>65</v>
      </c>
      <c r="F57" s="10">
        <v>0</v>
      </c>
      <c r="G57" s="10">
        <v>1</v>
      </c>
      <c r="H57" s="10">
        <v>1</v>
      </c>
      <c r="I57" s="10"/>
      <c r="J57" s="10"/>
      <c r="K57" s="10">
        <v>1</v>
      </c>
      <c r="L57" s="10"/>
      <c r="M57" s="10"/>
      <c r="N57" s="10"/>
      <c r="O57" s="10">
        <v>1</v>
      </c>
      <c r="P57" s="10"/>
      <c r="Q57" s="10">
        <v>1</v>
      </c>
      <c r="R57" s="10"/>
      <c r="S57" s="10"/>
      <c r="T57" s="10"/>
      <c r="U57" s="10">
        <v>0</v>
      </c>
      <c r="V57" s="10"/>
      <c r="W57" s="10"/>
      <c r="X57" s="10"/>
      <c r="Y57" s="10"/>
      <c r="Z57" s="10"/>
      <c r="AA57" s="10"/>
      <c r="AB57" s="10"/>
      <c r="AC57" s="10"/>
      <c r="AD57" s="10">
        <v>1</v>
      </c>
      <c r="AE57" s="10">
        <v>1</v>
      </c>
    </row>
    <row r="58" spans="3:31" x14ac:dyDescent="0.25">
      <c r="C58" s="153" t="s">
        <v>132</v>
      </c>
      <c r="D58" s="164">
        <v>4765561</v>
      </c>
      <c r="E58" s="159" t="s">
        <v>65</v>
      </c>
      <c r="F58" s="10">
        <v>0</v>
      </c>
      <c r="G58" s="10">
        <v>1</v>
      </c>
      <c r="H58" s="10">
        <v>1</v>
      </c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>
        <v>0</v>
      </c>
      <c r="V58" s="10"/>
      <c r="W58" s="10"/>
      <c r="X58" s="10"/>
      <c r="Y58" s="10"/>
      <c r="Z58" s="10"/>
      <c r="AA58" s="10"/>
      <c r="AB58" s="10"/>
      <c r="AC58" s="10"/>
      <c r="AD58" s="10"/>
      <c r="AE58" s="10">
        <v>2</v>
      </c>
    </row>
    <row r="59" spans="3:31" x14ac:dyDescent="0.25">
      <c r="C59" s="151" t="s">
        <v>297</v>
      </c>
      <c r="D59" s="167">
        <v>872301</v>
      </c>
      <c r="E59" s="164" t="s">
        <v>242</v>
      </c>
      <c r="F59" s="164">
        <v>0</v>
      </c>
      <c r="G59" s="159">
        <v>1</v>
      </c>
      <c r="H59" s="151">
        <v>0</v>
      </c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>
        <v>0</v>
      </c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</row>
    <row r="60" spans="3:31" x14ac:dyDescent="0.25">
      <c r="C60" s="153" t="s">
        <v>136</v>
      </c>
      <c r="D60" s="164">
        <v>6430663</v>
      </c>
      <c r="E60" s="159" t="s">
        <v>65</v>
      </c>
      <c r="F60" s="10">
        <v>0</v>
      </c>
      <c r="G60" s="10">
        <v>1</v>
      </c>
      <c r="H60" s="10">
        <v>1</v>
      </c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>
        <v>0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3:31" x14ac:dyDescent="0.25">
      <c r="C61" s="184" t="s">
        <v>55</v>
      </c>
      <c r="D61" s="164">
        <v>2803028</v>
      </c>
      <c r="E61" s="159" t="s">
        <v>40</v>
      </c>
      <c r="F61" s="10">
        <v>0</v>
      </c>
      <c r="G61" s="10">
        <v>1</v>
      </c>
      <c r="H61" s="10">
        <v>0</v>
      </c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>
        <v>0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3:31" x14ac:dyDescent="0.25">
      <c r="C62" s="150" t="s">
        <v>272</v>
      </c>
      <c r="D62" s="149">
        <v>5836728</v>
      </c>
      <c r="E62" s="178" t="s">
        <v>242</v>
      </c>
      <c r="F62" s="159">
        <v>0</v>
      </c>
      <c r="G62" s="159">
        <v>1</v>
      </c>
      <c r="H62" s="150">
        <v>0</v>
      </c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>
        <v>0</v>
      </c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</row>
    <row r="63" spans="3:31" x14ac:dyDescent="0.25">
      <c r="C63" s="185" t="s">
        <v>62</v>
      </c>
      <c r="D63" s="164">
        <v>4419787</v>
      </c>
      <c r="E63" s="159" t="s">
        <v>32</v>
      </c>
      <c r="F63" s="10">
        <v>0</v>
      </c>
      <c r="G63" s="10">
        <v>1</v>
      </c>
      <c r="H63" s="10">
        <v>1</v>
      </c>
      <c r="I63" s="10"/>
      <c r="J63" s="10"/>
      <c r="K63" s="10"/>
      <c r="L63" s="10"/>
      <c r="M63" s="10">
        <v>1</v>
      </c>
      <c r="N63" s="10"/>
      <c r="O63" s="10"/>
      <c r="P63" s="10"/>
      <c r="Q63" s="10"/>
      <c r="R63" s="10"/>
      <c r="S63" s="10"/>
      <c r="T63" s="10"/>
      <c r="U63" s="10">
        <v>0</v>
      </c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</row>
    <row r="64" spans="3:31" x14ac:dyDescent="0.25">
      <c r="C64" s="153" t="s">
        <v>77</v>
      </c>
      <c r="D64" s="164">
        <v>6428654</v>
      </c>
      <c r="E64" s="159" t="s">
        <v>65</v>
      </c>
      <c r="F64" s="10">
        <v>0</v>
      </c>
      <c r="G64" s="10">
        <v>1</v>
      </c>
      <c r="H64" s="10"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0</v>
      </c>
      <c r="V64" s="10"/>
      <c r="W64" s="10"/>
      <c r="X64" s="10"/>
      <c r="Y64" s="10"/>
      <c r="Z64" s="10"/>
      <c r="AA64" s="10"/>
      <c r="AB64" s="10"/>
      <c r="AC64" s="10"/>
      <c r="AD64" s="10"/>
      <c r="AE64" s="10">
        <v>1</v>
      </c>
    </row>
    <row r="65" spans="3:32" x14ac:dyDescent="0.25">
      <c r="C65" s="182" t="s">
        <v>95</v>
      </c>
      <c r="D65" s="167">
        <v>2307308</v>
      </c>
      <c r="E65" s="159" t="s">
        <v>65</v>
      </c>
      <c r="F65" s="13">
        <v>1</v>
      </c>
      <c r="G65" s="13">
        <v>1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spans="3:32" x14ac:dyDescent="0.25">
      <c r="C66" s="151" t="s">
        <v>134</v>
      </c>
      <c r="D66" s="167">
        <v>6742386</v>
      </c>
      <c r="E66" s="159" t="s">
        <v>65</v>
      </c>
      <c r="F66" s="10">
        <v>0</v>
      </c>
      <c r="G66" s="10">
        <v>1</v>
      </c>
      <c r="H66" s="10">
        <v>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0</v>
      </c>
      <c r="V66" s="10"/>
      <c r="W66" s="10"/>
      <c r="X66" s="10"/>
      <c r="Y66" s="10"/>
      <c r="Z66" s="10"/>
      <c r="AA66" s="10"/>
      <c r="AB66" s="10"/>
      <c r="AC66" s="10"/>
      <c r="AD66" s="10"/>
      <c r="AE66" s="10">
        <v>2</v>
      </c>
    </row>
    <row r="67" spans="3:32" x14ac:dyDescent="0.25">
      <c r="C67" s="153" t="s">
        <v>100</v>
      </c>
      <c r="D67" s="164">
        <v>1022690</v>
      </c>
      <c r="E67" s="159" t="s">
        <v>65</v>
      </c>
      <c r="F67" s="10">
        <v>0</v>
      </c>
      <c r="G67" s="10">
        <v>1</v>
      </c>
      <c r="H67" s="10">
        <v>1</v>
      </c>
      <c r="I67" s="10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>
        <v>0</v>
      </c>
      <c r="V67" s="10"/>
      <c r="W67" s="10"/>
      <c r="X67" s="10"/>
      <c r="Y67" s="10"/>
      <c r="Z67" s="10"/>
      <c r="AA67" s="10"/>
      <c r="AB67" s="10"/>
      <c r="AC67" s="10"/>
      <c r="AD67" s="10"/>
      <c r="AE67" s="10">
        <v>2</v>
      </c>
    </row>
    <row r="68" spans="3:32" x14ac:dyDescent="0.25">
      <c r="C68" s="157" t="s">
        <v>299</v>
      </c>
      <c r="D68" s="158">
        <v>3540097</v>
      </c>
      <c r="E68" s="158" t="s">
        <v>242</v>
      </c>
      <c r="F68" s="158">
        <v>0</v>
      </c>
      <c r="G68" s="159">
        <v>1</v>
      </c>
      <c r="H68">
        <v>0</v>
      </c>
      <c r="U68">
        <v>0</v>
      </c>
    </row>
    <row r="69" spans="3:32" x14ac:dyDescent="0.25">
      <c r="C69" s="151" t="s">
        <v>72</v>
      </c>
      <c r="D69" s="167">
        <v>4855890</v>
      </c>
      <c r="E69" s="159" t="s">
        <v>73</v>
      </c>
      <c r="F69" s="10">
        <v>0</v>
      </c>
      <c r="G69" s="10">
        <v>1</v>
      </c>
      <c r="H69" s="10">
        <v>1</v>
      </c>
      <c r="I69" s="10"/>
      <c r="J69" s="10"/>
      <c r="K69" s="10">
        <v>1</v>
      </c>
      <c r="L69" s="10"/>
      <c r="M69" s="10"/>
      <c r="N69" s="10"/>
      <c r="O69" s="10">
        <v>1</v>
      </c>
      <c r="P69" s="10"/>
      <c r="Q69" s="10">
        <v>1</v>
      </c>
      <c r="R69" s="10"/>
      <c r="S69" s="10"/>
      <c r="T69" s="10"/>
      <c r="U69" s="10">
        <v>0</v>
      </c>
      <c r="V69" s="10"/>
      <c r="W69" s="10"/>
      <c r="X69" s="10"/>
      <c r="Y69" s="10"/>
      <c r="Z69" s="10"/>
      <c r="AA69" s="10"/>
      <c r="AB69" s="10"/>
      <c r="AC69" s="10"/>
      <c r="AD69" s="10"/>
      <c r="AE69" s="10">
        <v>2</v>
      </c>
    </row>
    <row r="70" spans="3:32" x14ac:dyDescent="0.25">
      <c r="C70" s="153" t="s">
        <v>296</v>
      </c>
      <c r="D70" s="164">
        <v>6502699</v>
      </c>
      <c r="E70" s="164" t="s">
        <v>242</v>
      </c>
      <c r="F70" s="159">
        <v>0</v>
      </c>
      <c r="G70" s="159">
        <v>1</v>
      </c>
      <c r="H70" s="151">
        <v>0</v>
      </c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>
        <v>0</v>
      </c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</row>
    <row r="71" spans="3:32" x14ac:dyDescent="0.25">
      <c r="C71" s="168" t="s">
        <v>270</v>
      </c>
      <c r="D71" s="169">
        <v>2447128</v>
      </c>
      <c r="E71" s="169" t="s">
        <v>242</v>
      </c>
      <c r="F71" s="159">
        <v>0</v>
      </c>
      <c r="G71" s="169">
        <v>0</v>
      </c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31"/>
    </row>
    <row r="72" spans="3:32" x14ac:dyDescent="0.25">
      <c r="C72" s="165" t="s">
        <v>273</v>
      </c>
      <c r="D72" s="170">
        <v>6232438</v>
      </c>
      <c r="E72" s="159" t="s">
        <v>242</v>
      </c>
      <c r="F72" s="159">
        <v>0</v>
      </c>
      <c r="G72" s="159">
        <v>1</v>
      </c>
      <c r="H72" s="165">
        <v>0</v>
      </c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>
        <v>0</v>
      </c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</row>
    <row r="73" spans="3:32" x14ac:dyDescent="0.25">
      <c r="C73" s="153" t="s">
        <v>94</v>
      </c>
      <c r="D73" s="164">
        <v>1827901</v>
      </c>
      <c r="E73" s="159" t="s">
        <v>65</v>
      </c>
      <c r="F73" s="10">
        <v>0</v>
      </c>
      <c r="G73" s="10">
        <v>1</v>
      </c>
      <c r="H73" s="10">
        <v>1</v>
      </c>
      <c r="I73" s="10"/>
      <c r="J73" s="10"/>
      <c r="K73" s="10"/>
      <c r="L73" s="10"/>
      <c r="M73" s="10">
        <v>1</v>
      </c>
      <c r="N73" s="10"/>
      <c r="O73" s="10"/>
      <c r="P73" s="10"/>
      <c r="Q73" s="10">
        <v>1</v>
      </c>
      <c r="R73" s="10"/>
      <c r="S73" s="10"/>
      <c r="T73" s="10"/>
      <c r="U73" s="10">
        <v>0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3:32" x14ac:dyDescent="0.25">
      <c r="C74" s="153" t="s">
        <v>165</v>
      </c>
      <c r="D74" s="268" t="s">
        <v>166</v>
      </c>
      <c r="E74" s="10" t="s">
        <v>148</v>
      </c>
      <c r="F74" s="10">
        <v>0</v>
      </c>
      <c r="G74" s="10">
        <v>1</v>
      </c>
      <c r="H74" s="10">
        <v>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/>
      <c r="AD74" s="10">
        <v>2</v>
      </c>
      <c r="AE74" s="10">
        <v>0</v>
      </c>
      <c r="AF74" s="10"/>
    </row>
    <row r="75" spans="3:32" x14ac:dyDescent="0.25">
      <c r="C75" s="148" t="s">
        <v>261</v>
      </c>
      <c r="D75" s="149">
        <v>5030650</v>
      </c>
      <c r="E75" s="159" t="s">
        <v>242</v>
      </c>
      <c r="F75" s="158">
        <v>1</v>
      </c>
      <c r="G75" s="159">
        <v>1</v>
      </c>
    </row>
    <row r="76" spans="3:32" x14ac:dyDescent="0.25">
      <c r="C76" s="153" t="s">
        <v>60</v>
      </c>
      <c r="D76" s="164">
        <v>6195907</v>
      </c>
      <c r="E76" s="159" t="s">
        <v>32</v>
      </c>
      <c r="F76" s="10">
        <v>0</v>
      </c>
      <c r="G76" s="10">
        <v>1</v>
      </c>
      <c r="H76" s="10"/>
      <c r="I76" s="10"/>
      <c r="J76" s="10"/>
      <c r="K76" s="10">
        <v>1</v>
      </c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>
        <v>0</v>
      </c>
      <c r="V76" s="10"/>
      <c r="W76" s="10"/>
      <c r="X76" s="10"/>
      <c r="Y76" s="10"/>
      <c r="Z76" s="10"/>
      <c r="AA76" s="10"/>
      <c r="AB76" s="10"/>
      <c r="AC76" s="10"/>
      <c r="AD76" s="10"/>
      <c r="AE76" s="10">
        <v>1</v>
      </c>
    </row>
    <row r="77" spans="3:32" x14ac:dyDescent="0.25">
      <c r="C77" s="148" t="s">
        <v>187</v>
      </c>
      <c r="D77" s="149">
        <v>5441069</v>
      </c>
      <c r="E77" s="159" t="s">
        <v>171</v>
      </c>
      <c r="F77" s="159">
        <v>0</v>
      </c>
      <c r="G77" s="159">
        <v>1</v>
      </c>
      <c r="H77">
        <v>0</v>
      </c>
      <c r="U77">
        <v>0</v>
      </c>
    </row>
    <row r="78" spans="3:32" x14ac:dyDescent="0.25">
      <c r="C78" s="151" t="s">
        <v>91</v>
      </c>
      <c r="D78" s="167">
        <v>5209809</v>
      </c>
      <c r="E78" s="159" t="s">
        <v>65</v>
      </c>
      <c r="F78" s="10">
        <v>0</v>
      </c>
      <c r="G78" s="10">
        <v>1</v>
      </c>
      <c r="H78" s="10">
        <v>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0</v>
      </c>
      <c r="V78" s="10"/>
      <c r="W78" s="10"/>
      <c r="X78" s="10"/>
      <c r="Y78" s="10"/>
      <c r="Z78" s="10"/>
      <c r="AA78" s="10"/>
      <c r="AB78" s="10"/>
      <c r="AC78" s="10"/>
      <c r="AD78" s="10"/>
      <c r="AE78" s="10">
        <v>1</v>
      </c>
    </row>
    <row r="79" spans="3:32" x14ac:dyDescent="0.25">
      <c r="C79" s="153" t="s">
        <v>98</v>
      </c>
      <c r="D79" s="164">
        <v>5400588</v>
      </c>
      <c r="E79" s="159" t="s">
        <v>65</v>
      </c>
      <c r="F79" s="13">
        <v>1</v>
      </c>
      <c r="G79" s="13">
        <v>1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spans="3:32" x14ac:dyDescent="0.25">
      <c r="C80" s="159" t="s">
        <v>33</v>
      </c>
      <c r="D80" s="159">
        <v>1984126</v>
      </c>
      <c r="E80" s="159" t="s">
        <v>32</v>
      </c>
      <c r="F80" s="10">
        <v>0</v>
      </c>
      <c r="G80" s="10">
        <v>1</v>
      </c>
      <c r="H80" s="10">
        <v>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3:32" x14ac:dyDescent="0.25">
      <c r="C81" s="153" t="s">
        <v>125</v>
      </c>
      <c r="D81" s="164">
        <v>4800599</v>
      </c>
      <c r="E81" s="159" t="s">
        <v>65</v>
      </c>
      <c r="F81" s="13">
        <v>1</v>
      </c>
      <c r="G81" s="13">
        <v>1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spans="3:32" x14ac:dyDescent="0.25">
      <c r="C82" s="151" t="s">
        <v>118</v>
      </c>
      <c r="D82" s="167">
        <v>3621453</v>
      </c>
      <c r="E82" s="159" t="s">
        <v>65</v>
      </c>
      <c r="F82" s="13">
        <v>1</v>
      </c>
      <c r="G82" s="13">
        <v>1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spans="3:32" x14ac:dyDescent="0.25">
      <c r="C83" s="153" t="s">
        <v>78</v>
      </c>
      <c r="D83" s="164">
        <v>5874563</v>
      </c>
      <c r="E83" s="159" t="s">
        <v>65</v>
      </c>
      <c r="F83" s="13">
        <v>1</v>
      </c>
      <c r="G83" s="13"/>
      <c r="H83" s="13"/>
      <c r="I83" s="1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3:32" x14ac:dyDescent="0.25">
      <c r="C84" s="153" t="s">
        <v>229</v>
      </c>
      <c r="D84" s="154">
        <v>400664</v>
      </c>
      <c r="E84" s="164" t="s">
        <v>171</v>
      </c>
      <c r="F84" s="164">
        <v>0</v>
      </c>
      <c r="G84" s="159">
        <v>1</v>
      </c>
      <c r="H84" s="151">
        <v>1</v>
      </c>
      <c r="I84" s="151"/>
      <c r="J84" s="151"/>
      <c r="K84" s="151"/>
      <c r="L84" s="151"/>
      <c r="M84" s="151"/>
      <c r="N84" s="151"/>
      <c r="O84" s="151">
        <v>1</v>
      </c>
      <c r="P84" s="151"/>
      <c r="Q84" s="151"/>
      <c r="R84" s="151"/>
      <c r="S84" s="151"/>
      <c r="T84" s="151"/>
      <c r="U84" s="151">
        <v>0</v>
      </c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</row>
    <row r="85" spans="3:32" x14ac:dyDescent="0.25">
      <c r="C85" s="153" t="s">
        <v>79</v>
      </c>
      <c r="D85" s="164">
        <v>2950188</v>
      </c>
      <c r="E85" s="159" t="s">
        <v>65</v>
      </c>
      <c r="F85" s="10">
        <v>0</v>
      </c>
      <c r="G85" s="10">
        <v>1</v>
      </c>
      <c r="H85" s="10">
        <v>1</v>
      </c>
      <c r="I85" s="10"/>
      <c r="J85" s="10"/>
      <c r="K85" s="10">
        <v>1</v>
      </c>
      <c r="L85" s="10"/>
      <c r="M85" s="10"/>
      <c r="N85" s="10"/>
      <c r="O85" s="10"/>
      <c r="P85" s="10"/>
      <c r="Q85" s="10">
        <v>1</v>
      </c>
      <c r="R85" s="10"/>
      <c r="S85" s="10"/>
      <c r="T85" s="10"/>
      <c r="U85" s="10">
        <v>0</v>
      </c>
      <c r="V85" s="10"/>
      <c r="W85" s="10"/>
      <c r="X85" s="10"/>
      <c r="Y85" s="10"/>
      <c r="Z85" s="10"/>
      <c r="AA85" s="10"/>
      <c r="AB85" s="10"/>
      <c r="AC85" s="10"/>
      <c r="AD85" s="10"/>
      <c r="AE85" s="10">
        <v>2</v>
      </c>
    </row>
    <row r="86" spans="3:32" x14ac:dyDescent="0.25">
      <c r="C86" s="153" t="s">
        <v>129</v>
      </c>
      <c r="D86" s="164">
        <v>1599183</v>
      </c>
      <c r="E86" s="159" t="s">
        <v>65</v>
      </c>
      <c r="F86" s="13">
        <v>1</v>
      </c>
      <c r="G86" s="13">
        <v>1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3:32" x14ac:dyDescent="0.25">
      <c r="C87" s="265" t="s">
        <v>144</v>
      </c>
      <c r="D87" s="269" t="s">
        <v>145</v>
      </c>
      <c r="E87" s="10" t="s">
        <v>36</v>
      </c>
      <c r="F87" s="10">
        <v>0</v>
      </c>
      <c r="G87" s="10">
        <v>1</v>
      </c>
      <c r="H87" s="10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/>
      <c r="AD87" s="10"/>
      <c r="AE87" s="10">
        <v>1</v>
      </c>
      <c r="AF87" s="10"/>
    </row>
    <row r="88" spans="3:32" x14ac:dyDescent="0.25">
      <c r="C88" s="153" t="s">
        <v>64</v>
      </c>
      <c r="D88" s="164">
        <v>6463964</v>
      </c>
      <c r="E88" s="159" t="s">
        <v>65</v>
      </c>
      <c r="F88" s="10">
        <v>0</v>
      </c>
      <c r="G88" s="10">
        <v>1</v>
      </c>
      <c r="H88" s="10">
        <v>1</v>
      </c>
      <c r="I88" s="10"/>
      <c r="J88" s="10"/>
      <c r="K88" s="10">
        <v>1</v>
      </c>
      <c r="L88" s="10"/>
      <c r="M88" s="10"/>
      <c r="N88" s="10"/>
      <c r="O88" s="10">
        <v>1</v>
      </c>
      <c r="P88" s="10"/>
      <c r="Q88" s="10"/>
      <c r="R88" s="10"/>
      <c r="S88" s="10"/>
      <c r="T88" s="10"/>
      <c r="U88" s="10">
        <v>0</v>
      </c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>
        <v>1</v>
      </c>
    </row>
    <row r="89" spans="3:32" x14ac:dyDescent="0.25">
      <c r="C89" s="153" t="s">
        <v>97</v>
      </c>
      <c r="D89" s="164">
        <v>1650342</v>
      </c>
      <c r="E89" s="159" t="s">
        <v>65</v>
      </c>
      <c r="F89" s="10">
        <v>0</v>
      </c>
      <c r="G89" s="10">
        <v>1</v>
      </c>
      <c r="H89" s="10">
        <v>1</v>
      </c>
      <c r="I89" s="10"/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>
        <v>0</v>
      </c>
      <c r="V89" s="10"/>
      <c r="W89" s="10"/>
      <c r="X89" s="10"/>
      <c r="Y89" s="10"/>
      <c r="Z89" s="10"/>
      <c r="AA89" s="10"/>
      <c r="AB89" s="10"/>
      <c r="AC89" s="10"/>
      <c r="AD89" s="10">
        <v>1</v>
      </c>
      <c r="AE89" s="10">
        <v>2</v>
      </c>
    </row>
    <row r="90" spans="3:32" x14ac:dyDescent="0.25">
      <c r="C90" s="153" t="s">
        <v>76</v>
      </c>
      <c r="D90" s="164">
        <v>897445</v>
      </c>
      <c r="E90" s="159" t="s">
        <v>65</v>
      </c>
      <c r="F90" s="10">
        <v>0</v>
      </c>
      <c r="G90" s="10">
        <v>1</v>
      </c>
      <c r="H90" s="10">
        <v>1</v>
      </c>
      <c r="I90" s="10"/>
      <c r="J90" s="10"/>
      <c r="K90" s="10"/>
      <c r="L90" s="10">
        <v>1</v>
      </c>
      <c r="M90" s="10"/>
      <c r="N90" s="10"/>
      <c r="O90" s="10"/>
      <c r="P90" s="10"/>
      <c r="Q90" s="10"/>
      <c r="R90" s="10"/>
      <c r="S90" s="10"/>
      <c r="T90" s="10"/>
      <c r="U90" s="10">
        <v>0</v>
      </c>
      <c r="V90" s="10"/>
      <c r="W90" s="10"/>
      <c r="X90" s="10"/>
      <c r="Y90" s="10"/>
      <c r="Z90" s="10"/>
      <c r="AA90" s="10"/>
      <c r="AB90" s="10"/>
      <c r="AC90" s="10"/>
      <c r="AD90" s="10"/>
      <c r="AE90" s="10">
        <v>1</v>
      </c>
    </row>
    <row r="91" spans="3:32" x14ac:dyDescent="0.25">
      <c r="C91" s="151" t="s">
        <v>294</v>
      </c>
      <c r="D91" s="164">
        <v>363876</v>
      </c>
      <c r="E91" s="164" t="s">
        <v>242</v>
      </c>
      <c r="F91" s="158">
        <v>1</v>
      </c>
      <c r="G91" s="159">
        <v>1</v>
      </c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</row>
    <row r="92" spans="3:32" x14ac:dyDescent="0.25">
      <c r="C92" s="165" t="s">
        <v>271</v>
      </c>
      <c r="D92" s="159">
        <v>107002</v>
      </c>
      <c r="E92" t="s">
        <v>242</v>
      </c>
      <c r="F92" s="159">
        <v>0</v>
      </c>
      <c r="G92" s="159">
        <v>1</v>
      </c>
      <c r="H92">
        <v>0</v>
      </c>
      <c r="U92">
        <v>0</v>
      </c>
    </row>
    <row r="93" spans="3:32" x14ac:dyDescent="0.25">
      <c r="C93" s="153" t="s">
        <v>109</v>
      </c>
      <c r="D93" s="164">
        <v>5174479</v>
      </c>
      <c r="E93" s="159" t="s">
        <v>65</v>
      </c>
      <c r="F93" s="10">
        <v>0</v>
      </c>
      <c r="G93" s="10">
        <v>1</v>
      </c>
      <c r="H93" s="10">
        <v>1</v>
      </c>
      <c r="I93" s="10"/>
      <c r="J93" s="10"/>
      <c r="K93" s="10">
        <v>1</v>
      </c>
      <c r="L93" s="10"/>
      <c r="M93" s="10"/>
      <c r="N93" s="10"/>
      <c r="O93" s="10"/>
      <c r="P93" s="10"/>
      <c r="Q93" s="10"/>
      <c r="R93" s="10"/>
      <c r="S93" s="10"/>
      <c r="T93" s="10"/>
      <c r="U93" s="10">
        <v>0</v>
      </c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</row>
    <row r="94" spans="3:32" x14ac:dyDescent="0.25">
      <c r="C94" s="153" t="s">
        <v>99</v>
      </c>
      <c r="D94" s="164">
        <v>3936017</v>
      </c>
      <c r="E94" s="159" t="s">
        <v>65</v>
      </c>
      <c r="F94" s="10">
        <v>0</v>
      </c>
      <c r="G94" s="10">
        <v>1</v>
      </c>
      <c r="H94" s="10">
        <v>1</v>
      </c>
      <c r="I94" s="10"/>
      <c r="J94" s="10"/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>
        <v>0</v>
      </c>
      <c r="V94" s="10"/>
      <c r="W94" s="10"/>
      <c r="X94" s="10"/>
      <c r="Y94" s="10"/>
      <c r="Z94" s="10"/>
      <c r="AA94" s="10"/>
      <c r="AB94" s="10"/>
      <c r="AC94" s="10"/>
      <c r="AD94" s="10"/>
      <c r="AE94" s="10">
        <v>2</v>
      </c>
    </row>
    <row r="95" spans="3:32" x14ac:dyDescent="0.25">
      <c r="C95" s="148" t="s">
        <v>188</v>
      </c>
      <c r="D95" s="149">
        <v>3769948</v>
      </c>
      <c r="E95" s="159" t="s">
        <v>171</v>
      </c>
      <c r="F95" s="159">
        <v>0</v>
      </c>
      <c r="G95" s="159">
        <v>1</v>
      </c>
      <c r="H95">
        <v>0</v>
      </c>
      <c r="U95">
        <v>1</v>
      </c>
      <c r="Z95">
        <v>1</v>
      </c>
    </row>
    <row r="96" spans="3:32" ht="15.75" x14ac:dyDescent="0.25">
      <c r="C96" s="172" t="s">
        <v>189</v>
      </c>
      <c r="D96" s="149">
        <v>937504</v>
      </c>
      <c r="E96" s="159" t="s">
        <v>171</v>
      </c>
      <c r="F96" s="159">
        <v>0</v>
      </c>
      <c r="G96" s="169">
        <v>0</v>
      </c>
    </row>
    <row r="97" spans="3:32" x14ac:dyDescent="0.25">
      <c r="C97" s="157" t="s">
        <v>235</v>
      </c>
      <c r="D97" s="160">
        <v>3508326</v>
      </c>
      <c r="E97" s="158" t="s">
        <v>171</v>
      </c>
      <c r="F97" s="159">
        <v>0</v>
      </c>
      <c r="G97" s="159">
        <v>1</v>
      </c>
      <c r="H97" s="151">
        <v>2</v>
      </c>
      <c r="K97">
        <v>2</v>
      </c>
      <c r="L97">
        <v>2</v>
      </c>
      <c r="P97">
        <v>1</v>
      </c>
      <c r="U97" s="151">
        <v>1</v>
      </c>
      <c r="X97">
        <v>1</v>
      </c>
      <c r="Z97">
        <v>1</v>
      </c>
      <c r="AC97" t="s">
        <v>554</v>
      </c>
    </row>
    <row r="98" spans="3:32" x14ac:dyDescent="0.25">
      <c r="C98" s="151" t="s">
        <v>93</v>
      </c>
      <c r="D98" s="167">
        <v>3654890</v>
      </c>
      <c r="E98" s="159" t="s">
        <v>65</v>
      </c>
      <c r="F98" s="10">
        <v>0</v>
      </c>
      <c r="G98" s="10">
        <v>1</v>
      </c>
      <c r="H98" s="10">
        <v>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>
        <v>0</v>
      </c>
      <c r="V98" s="10"/>
      <c r="W98" s="10"/>
      <c r="X98" s="10"/>
      <c r="Y98" s="10"/>
      <c r="Z98" s="10"/>
      <c r="AA98" s="10"/>
      <c r="AB98" s="10"/>
      <c r="AC98" s="10"/>
      <c r="AD98" s="10">
        <v>1</v>
      </c>
      <c r="AE98" s="10">
        <v>2</v>
      </c>
    </row>
    <row r="99" spans="3:32" x14ac:dyDescent="0.25">
      <c r="C99" s="153" t="s">
        <v>82</v>
      </c>
      <c r="D99" s="164">
        <v>5122359</v>
      </c>
      <c r="E99" s="159" t="s">
        <v>65</v>
      </c>
      <c r="F99" s="10">
        <v>0</v>
      </c>
      <c r="G99" s="10">
        <v>1</v>
      </c>
      <c r="H99" s="10">
        <v>0</v>
      </c>
      <c r="I99" s="10"/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/>
      <c r="U99" s="10">
        <v>0</v>
      </c>
      <c r="V99" s="10"/>
      <c r="W99" s="10"/>
      <c r="X99" s="10"/>
      <c r="Y99" s="10"/>
      <c r="Z99" s="10"/>
      <c r="AA99" s="10"/>
      <c r="AB99" s="10"/>
      <c r="AC99" s="10"/>
      <c r="AD99" s="10"/>
      <c r="AE99" s="10">
        <v>1</v>
      </c>
    </row>
    <row r="100" spans="3:32" x14ac:dyDescent="0.25">
      <c r="C100" s="153" t="s">
        <v>214</v>
      </c>
      <c r="D100" s="154">
        <v>824495</v>
      </c>
      <c r="E100" s="164" t="s">
        <v>171</v>
      </c>
      <c r="F100" s="159">
        <v>0</v>
      </c>
      <c r="G100" s="159">
        <v>1</v>
      </c>
      <c r="H100" s="151">
        <v>1</v>
      </c>
      <c r="I100" s="151"/>
      <c r="J100" s="151"/>
      <c r="K100" s="151">
        <v>1</v>
      </c>
      <c r="L100" s="151"/>
      <c r="M100" s="151">
        <v>1</v>
      </c>
      <c r="N100" s="151"/>
      <c r="O100" s="151">
        <v>1</v>
      </c>
      <c r="P100" s="151"/>
      <c r="Q100" s="151">
        <v>1</v>
      </c>
      <c r="R100" s="151"/>
      <c r="S100" s="151"/>
      <c r="T100" s="151"/>
      <c r="U100" s="151">
        <v>0</v>
      </c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</row>
    <row r="101" spans="3:32" x14ac:dyDescent="0.25">
      <c r="C101" s="150" t="s">
        <v>205</v>
      </c>
      <c r="D101" s="149">
        <v>6264080</v>
      </c>
      <c r="E101" s="150" t="s">
        <v>171</v>
      </c>
      <c r="F101" s="159">
        <v>0</v>
      </c>
      <c r="G101" s="159">
        <v>1</v>
      </c>
      <c r="H101" s="150">
        <v>2</v>
      </c>
      <c r="K101">
        <v>2</v>
      </c>
      <c r="M101">
        <v>2</v>
      </c>
      <c r="Q101">
        <v>1</v>
      </c>
      <c r="U101">
        <v>0</v>
      </c>
    </row>
    <row r="102" spans="3:32" x14ac:dyDescent="0.25">
      <c r="C102" s="151" t="s">
        <v>131</v>
      </c>
      <c r="D102" s="167">
        <v>6756888</v>
      </c>
      <c r="E102" s="164" t="s">
        <v>65</v>
      </c>
      <c r="F102" s="10">
        <v>0</v>
      </c>
      <c r="G102" s="10">
        <v>1</v>
      </c>
      <c r="H102" s="10"/>
      <c r="I102" s="10"/>
      <c r="J102" s="10"/>
      <c r="K102" s="10"/>
      <c r="L102" s="10">
        <v>1</v>
      </c>
      <c r="M102" s="10"/>
      <c r="N102" s="10"/>
      <c r="O102" s="10">
        <v>1</v>
      </c>
      <c r="P102" s="10"/>
      <c r="Q102" s="10"/>
      <c r="R102" s="10"/>
      <c r="S102" s="10"/>
      <c r="T102" s="10"/>
      <c r="U102" s="10">
        <v>0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3:32" x14ac:dyDescent="0.25">
      <c r="C103" s="167" t="s">
        <v>169</v>
      </c>
      <c r="D103" s="267">
        <v>6229308</v>
      </c>
      <c r="E103" s="10" t="s">
        <v>141</v>
      </c>
      <c r="F103" s="13">
        <v>1</v>
      </c>
      <c r="G103" s="13">
        <v>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0"/>
    </row>
    <row r="104" spans="3:32" x14ac:dyDescent="0.25">
      <c r="C104" s="151" t="s">
        <v>284</v>
      </c>
      <c r="D104" s="152">
        <v>6523443</v>
      </c>
      <c r="E104" s="164" t="s">
        <v>242</v>
      </c>
      <c r="F104" s="159">
        <v>0</v>
      </c>
      <c r="G104" s="159">
        <v>1</v>
      </c>
      <c r="H104" s="151">
        <v>0</v>
      </c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>
        <v>0</v>
      </c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</row>
    <row r="105" spans="3:32" x14ac:dyDescent="0.25">
      <c r="C105" s="165" t="s">
        <v>204</v>
      </c>
      <c r="D105" s="149">
        <v>3725958</v>
      </c>
      <c r="E105" s="159" t="s">
        <v>171</v>
      </c>
      <c r="F105" s="159">
        <v>0</v>
      </c>
      <c r="G105" s="159">
        <v>1</v>
      </c>
      <c r="H105" s="165">
        <v>0</v>
      </c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>
        <v>0</v>
      </c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</row>
    <row r="106" spans="3:32" x14ac:dyDescent="0.25">
      <c r="C106" s="165" t="s">
        <v>228</v>
      </c>
      <c r="D106" s="156">
        <v>5119987</v>
      </c>
      <c r="E106" s="159" t="s">
        <v>171</v>
      </c>
      <c r="F106" s="159">
        <v>0</v>
      </c>
      <c r="G106" s="159">
        <v>1</v>
      </c>
      <c r="H106" s="165">
        <v>2</v>
      </c>
      <c r="I106" s="165"/>
      <c r="J106" s="165"/>
      <c r="K106" s="165"/>
      <c r="L106" s="165"/>
      <c r="M106" s="165"/>
      <c r="N106" s="165"/>
      <c r="O106" s="165">
        <v>2</v>
      </c>
      <c r="P106" s="165">
        <v>1</v>
      </c>
      <c r="Q106" s="165"/>
      <c r="R106" s="165"/>
      <c r="S106" s="165">
        <v>1</v>
      </c>
      <c r="T106" s="165" t="s">
        <v>552</v>
      </c>
      <c r="U106" s="165">
        <v>0</v>
      </c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</row>
    <row r="107" spans="3:32" x14ac:dyDescent="0.25">
      <c r="C107" s="153" t="s">
        <v>53</v>
      </c>
      <c r="D107" s="164">
        <v>327692</v>
      </c>
      <c r="E107" s="159" t="s">
        <v>32</v>
      </c>
      <c r="F107" s="10">
        <v>0</v>
      </c>
      <c r="G107" s="10">
        <v>1</v>
      </c>
      <c r="H107" s="10">
        <v>1</v>
      </c>
      <c r="I107" s="10"/>
      <c r="J107" s="10"/>
      <c r="K107" s="10">
        <v>1</v>
      </c>
      <c r="L107" s="10">
        <v>1</v>
      </c>
      <c r="M107" s="10"/>
      <c r="N107" s="10"/>
      <c r="O107" s="10">
        <v>1</v>
      </c>
      <c r="P107" s="10"/>
      <c r="Q107" s="10"/>
      <c r="R107" s="10"/>
      <c r="S107" s="10"/>
      <c r="T107" s="10"/>
      <c r="U107" s="10">
        <v>1</v>
      </c>
      <c r="V107" s="10"/>
      <c r="W107" s="10"/>
      <c r="X107" s="10">
        <v>1</v>
      </c>
      <c r="Y107" s="10"/>
      <c r="Z107" s="10"/>
      <c r="AA107" s="10"/>
      <c r="AB107" s="10"/>
      <c r="AC107" s="10"/>
      <c r="AD107" s="10">
        <v>1</v>
      </c>
      <c r="AE107" s="10">
        <v>2</v>
      </c>
    </row>
    <row r="108" spans="3:32" x14ac:dyDescent="0.25">
      <c r="C108" s="148" t="s">
        <v>178</v>
      </c>
      <c r="D108" s="149">
        <v>5400722</v>
      </c>
      <c r="E108" s="159" t="s">
        <v>171</v>
      </c>
      <c r="F108" s="159">
        <v>0</v>
      </c>
      <c r="G108" s="159">
        <v>1</v>
      </c>
      <c r="H108">
        <v>2</v>
      </c>
      <c r="K108">
        <v>2</v>
      </c>
      <c r="U108">
        <v>0</v>
      </c>
    </row>
    <row r="109" spans="3:32" x14ac:dyDescent="0.25">
      <c r="C109" s="148" t="s">
        <v>173</v>
      </c>
      <c r="D109" s="149">
        <v>1089955</v>
      </c>
      <c r="E109" s="159" t="s">
        <v>171</v>
      </c>
      <c r="F109" s="159">
        <v>0</v>
      </c>
      <c r="G109" s="159">
        <v>1</v>
      </c>
      <c r="H109">
        <v>0</v>
      </c>
      <c r="U109">
        <v>0</v>
      </c>
    </row>
    <row r="110" spans="3:32" x14ac:dyDescent="0.25">
      <c r="C110" s="151" t="s">
        <v>130</v>
      </c>
      <c r="D110" s="167">
        <v>6744097</v>
      </c>
      <c r="E110" s="159" t="s">
        <v>65</v>
      </c>
      <c r="F110" s="10">
        <v>0</v>
      </c>
      <c r="G110" s="10">
        <v>1</v>
      </c>
      <c r="H110" s="10">
        <v>1</v>
      </c>
      <c r="I110" s="10"/>
      <c r="J110" s="10"/>
      <c r="K110" s="10">
        <v>1</v>
      </c>
      <c r="L110" s="10"/>
      <c r="M110" s="10"/>
      <c r="N110" s="10"/>
      <c r="O110" s="10">
        <v>1</v>
      </c>
      <c r="P110" s="10"/>
      <c r="Q110" s="10"/>
      <c r="R110" s="10"/>
      <c r="S110" s="10"/>
      <c r="T110" s="10"/>
      <c r="U110" s="10">
        <v>0</v>
      </c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2</v>
      </c>
    </row>
    <row r="111" spans="3:32" x14ac:dyDescent="0.25">
      <c r="C111" t="s">
        <v>282</v>
      </c>
      <c r="D111" s="163">
        <v>3711750</v>
      </c>
      <c r="E111" s="158" t="s">
        <v>242</v>
      </c>
      <c r="F111" s="158">
        <v>1</v>
      </c>
      <c r="G111" s="159">
        <v>1</v>
      </c>
      <c r="H111">
        <v>0</v>
      </c>
      <c r="U111">
        <v>0</v>
      </c>
    </row>
    <row r="112" spans="3:32" x14ac:dyDescent="0.25">
      <c r="C112" s="176" t="s">
        <v>142</v>
      </c>
      <c r="D112" s="270" t="s">
        <v>143</v>
      </c>
      <c r="E112" s="10" t="s">
        <v>36</v>
      </c>
      <c r="F112" s="10">
        <v>0</v>
      </c>
      <c r="G112" s="10">
        <v>1</v>
      </c>
      <c r="H112" s="10">
        <v>1</v>
      </c>
      <c r="I112" s="10"/>
      <c r="J112" s="10"/>
      <c r="K112" s="10">
        <v>1</v>
      </c>
      <c r="L112" s="10"/>
      <c r="M112" s="10">
        <v>1</v>
      </c>
      <c r="N112" s="10"/>
      <c r="O112" s="10"/>
      <c r="P112" s="10"/>
      <c r="Q112" s="10">
        <v>1</v>
      </c>
      <c r="R112" s="10"/>
      <c r="S112" s="10"/>
      <c r="T112" s="10"/>
      <c r="U112" s="10">
        <v>1</v>
      </c>
      <c r="V112" s="10">
        <v>0</v>
      </c>
      <c r="W112" s="10">
        <v>1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/>
      <c r="AD112" s="10"/>
      <c r="AE112" s="10"/>
      <c r="AF112" s="10"/>
    </row>
    <row r="113" spans="3:32" x14ac:dyDescent="0.25">
      <c r="C113" s="153" t="s">
        <v>289</v>
      </c>
      <c r="D113" s="166">
        <v>5868912</v>
      </c>
      <c r="E113" s="164" t="s">
        <v>242</v>
      </c>
      <c r="F113" s="159">
        <v>0</v>
      </c>
      <c r="G113" s="159">
        <v>1</v>
      </c>
      <c r="H113" s="151">
        <v>1</v>
      </c>
      <c r="I113" s="151">
        <v>1</v>
      </c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 t="s">
        <v>557</v>
      </c>
      <c r="U113" s="151">
        <v>0</v>
      </c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</row>
    <row r="114" spans="3:32" x14ac:dyDescent="0.25">
      <c r="C114" s="155" t="s">
        <v>197</v>
      </c>
      <c r="D114" s="163">
        <v>1007203</v>
      </c>
      <c r="E114" s="158" t="s">
        <v>171</v>
      </c>
      <c r="F114" s="159">
        <v>0</v>
      </c>
      <c r="G114" s="159">
        <v>1</v>
      </c>
      <c r="H114">
        <v>1</v>
      </c>
      <c r="O114">
        <v>1</v>
      </c>
      <c r="U114">
        <v>0</v>
      </c>
    </row>
    <row r="115" spans="3:32" x14ac:dyDescent="0.25">
      <c r="C115" s="184" t="s">
        <v>54</v>
      </c>
      <c r="D115" s="164">
        <v>6551189</v>
      </c>
      <c r="E115" s="159" t="s">
        <v>32</v>
      </c>
      <c r="F115" s="10">
        <v>0</v>
      </c>
      <c r="G115" s="10">
        <v>1</v>
      </c>
      <c r="H115" s="10">
        <v>1</v>
      </c>
      <c r="I115" s="10"/>
      <c r="J115" s="10"/>
      <c r="K115" s="10"/>
      <c r="L115" s="10">
        <v>1</v>
      </c>
      <c r="M115" s="10"/>
      <c r="N115" s="10"/>
      <c r="O115" s="10"/>
      <c r="P115" s="10"/>
      <c r="Q115" s="10">
        <v>1</v>
      </c>
      <c r="R115" s="10"/>
      <c r="S115" s="10"/>
      <c r="T115" s="10"/>
      <c r="U115" s="10">
        <v>0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1</v>
      </c>
    </row>
    <row r="116" spans="3:32" x14ac:dyDescent="0.25">
      <c r="C116" s="151" t="s">
        <v>133</v>
      </c>
      <c r="D116" s="167">
        <v>1220793</v>
      </c>
      <c r="E116" s="159" t="s">
        <v>65</v>
      </c>
      <c r="F116" s="10">
        <v>0</v>
      </c>
      <c r="G116" s="10">
        <v>1</v>
      </c>
      <c r="H116" s="10">
        <v>1</v>
      </c>
      <c r="I116" s="10"/>
      <c r="J116" s="10"/>
      <c r="K116" s="10">
        <v>1</v>
      </c>
      <c r="L116" s="10"/>
      <c r="M116" s="10"/>
      <c r="N116" s="10"/>
      <c r="O116" s="10">
        <v>1</v>
      </c>
      <c r="P116" s="10"/>
      <c r="Q116" s="10">
        <v>1</v>
      </c>
      <c r="R116" s="10"/>
      <c r="S116" s="10"/>
      <c r="T116" s="10"/>
      <c r="U116" s="10">
        <v>0</v>
      </c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3:32" x14ac:dyDescent="0.25">
      <c r="C117" s="157" t="s">
        <v>194</v>
      </c>
      <c r="D117" s="160">
        <v>2797309</v>
      </c>
      <c r="E117" s="159" t="s">
        <v>171</v>
      </c>
      <c r="F117" s="159">
        <v>0</v>
      </c>
      <c r="G117" s="159">
        <v>1</v>
      </c>
      <c r="H117">
        <v>0</v>
      </c>
      <c r="U117">
        <v>0</v>
      </c>
    </row>
    <row r="118" spans="3:32" x14ac:dyDescent="0.25">
      <c r="C118" s="148" t="s">
        <v>251</v>
      </c>
      <c r="D118" s="149">
        <v>6334432</v>
      </c>
      <c r="E118" s="159" t="s">
        <v>242</v>
      </c>
      <c r="F118" s="159">
        <v>0</v>
      </c>
      <c r="G118" s="159">
        <v>1</v>
      </c>
      <c r="H118">
        <v>0</v>
      </c>
      <c r="U118">
        <v>0</v>
      </c>
    </row>
    <row r="119" spans="3:32" x14ac:dyDescent="0.25">
      <c r="C119" s="151" t="s">
        <v>81</v>
      </c>
      <c r="D119" s="167">
        <v>3379916</v>
      </c>
      <c r="E119" s="159" t="s">
        <v>65</v>
      </c>
      <c r="F119" s="10">
        <v>0</v>
      </c>
      <c r="G119" s="10">
        <v>1</v>
      </c>
      <c r="H119" s="10">
        <v>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>
        <v>0</v>
      </c>
      <c r="V119" s="10"/>
      <c r="W119" s="10"/>
      <c r="X119" s="10"/>
      <c r="Y119" s="10"/>
      <c r="Z119" s="10"/>
      <c r="AA119" s="10"/>
      <c r="AB119" s="10"/>
      <c r="AC119" s="10"/>
      <c r="AD119" s="10">
        <v>1</v>
      </c>
      <c r="AE119" s="10">
        <v>2</v>
      </c>
    </row>
    <row r="120" spans="3:32" x14ac:dyDescent="0.25">
      <c r="C120" s="153" t="s">
        <v>123</v>
      </c>
      <c r="D120" s="164">
        <v>6737247</v>
      </c>
      <c r="E120" s="159" t="s">
        <v>65</v>
      </c>
      <c r="F120" s="10">
        <v>0</v>
      </c>
      <c r="G120" s="10">
        <v>1</v>
      </c>
      <c r="H120" s="10">
        <v>1</v>
      </c>
      <c r="I120" s="10"/>
      <c r="J120" s="10">
        <v>1</v>
      </c>
      <c r="K120" s="10"/>
      <c r="L120" s="10">
        <v>1</v>
      </c>
      <c r="M120" s="10"/>
      <c r="N120" s="10"/>
      <c r="O120" s="10"/>
      <c r="P120" s="10">
        <v>1</v>
      </c>
      <c r="Q120" s="10"/>
      <c r="R120" s="10"/>
      <c r="S120" s="10"/>
      <c r="T120" s="10"/>
      <c r="U120" s="10">
        <v>0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>
        <v>1</v>
      </c>
    </row>
    <row r="121" spans="3:32" x14ac:dyDescent="0.25">
      <c r="C121" s="153" t="s">
        <v>230</v>
      </c>
      <c r="D121" s="154">
        <v>2546984</v>
      </c>
      <c r="E121" s="164" t="s">
        <v>171</v>
      </c>
      <c r="F121" s="159">
        <v>0</v>
      </c>
      <c r="G121" s="159">
        <v>1</v>
      </c>
      <c r="H121" s="151">
        <v>2</v>
      </c>
      <c r="I121" s="151"/>
      <c r="J121" s="151"/>
      <c r="K121" s="151">
        <v>2</v>
      </c>
      <c r="L121" s="151">
        <v>1</v>
      </c>
      <c r="M121" s="151"/>
      <c r="N121" s="151"/>
      <c r="O121" s="151">
        <v>1</v>
      </c>
      <c r="P121" s="151"/>
      <c r="Q121" s="151"/>
      <c r="R121" s="151"/>
      <c r="S121" s="151"/>
      <c r="T121" s="151" t="s">
        <v>231</v>
      </c>
      <c r="U121" s="151">
        <v>1</v>
      </c>
      <c r="V121" s="151"/>
      <c r="W121" s="151"/>
      <c r="X121" s="151">
        <v>1</v>
      </c>
      <c r="Y121" s="151"/>
      <c r="Z121" s="151"/>
      <c r="AA121" s="151"/>
      <c r="AB121" s="151">
        <v>1</v>
      </c>
      <c r="AC121" s="151" t="s">
        <v>232</v>
      </c>
      <c r="AD121" s="151"/>
      <c r="AE121" s="151"/>
    </row>
    <row r="122" spans="3:32" x14ac:dyDescent="0.25">
      <c r="C122" s="173" t="s">
        <v>208</v>
      </c>
      <c r="D122" s="149">
        <v>4176512</v>
      </c>
      <c r="E122" t="s">
        <v>171</v>
      </c>
      <c r="F122" s="159">
        <v>0</v>
      </c>
      <c r="G122" s="159">
        <v>1</v>
      </c>
      <c r="H122">
        <v>1</v>
      </c>
      <c r="K122">
        <v>1</v>
      </c>
      <c r="O122">
        <v>1</v>
      </c>
      <c r="U122">
        <v>0</v>
      </c>
    </row>
    <row r="123" spans="3:32" x14ac:dyDescent="0.25">
      <c r="C123" s="167" t="s">
        <v>158</v>
      </c>
      <c r="D123" s="267">
        <v>6264367</v>
      </c>
      <c r="E123" s="10" t="s">
        <v>148</v>
      </c>
      <c r="F123" s="10">
        <v>0</v>
      </c>
      <c r="G123" s="10">
        <v>1</v>
      </c>
      <c r="H123" s="10">
        <v>1</v>
      </c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/>
      <c r="AD123" s="10">
        <v>1</v>
      </c>
      <c r="AE123" s="10">
        <v>1</v>
      </c>
      <c r="AF123" s="10"/>
    </row>
    <row r="124" spans="3:32" x14ac:dyDescent="0.25">
      <c r="C124" s="271" t="s">
        <v>139</v>
      </c>
      <c r="D124" s="266" t="s">
        <v>140</v>
      </c>
      <c r="E124" s="10" t="s">
        <v>141</v>
      </c>
      <c r="F124" s="10">
        <v>0</v>
      </c>
      <c r="G124" s="10">
        <v>1</v>
      </c>
      <c r="H124" s="10">
        <v>1</v>
      </c>
      <c r="I124" s="10"/>
      <c r="J124" s="10"/>
      <c r="K124" s="10">
        <v>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0</v>
      </c>
      <c r="V124" s="10">
        <v>0</v>
      </c>
      <c r="W124" s="10">
        <v>1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/>
      <c r="AD124" s="10"/>
      <c r="AE124" s="10">
        <v>0</v>
      </c>
      <c r="AF124" s="10"/>
    </row>
    <row r="125" spans="3:32" x14ac:dyDescent="0.25">
      <c r="C125" s="151" t="s">
        <v>116</v>
      </c>
      <c r="D125" s="167">
        <v>1508796</v>
      </c>
      <c r="E125" s="159" t="s">
        <v>65</v>
      </c>
      <c r="F125" s="10">
        <v>0</v>
      </c>
      <c r="G125" s="10">
        <v>1</v>
      </c>
      <c r="H125" s="10">
        <v>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>
        <v>0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2</v>
      </c>
    </row>
    <row r="126" spans="3:32" x14ac:dyDescent="0.25">
      <c r="C126" t="s">
        <v>275</v>
      </c>
      <c r="D126" s="6">
        <v>6497371</v>
      </c>
      <c r="E126" s="158" t="s">
        <v>242</v>
      </c>
      <c r="F126" s="159">
        <v>0</v>
      </c>
      <c r="G126" s="159">
        <v>1</v>
      </c>
      <c r="H126" s="165">
        <v>0</v>
      </c>
      <c r="U126" s="165">
        <v>0</v>
      </c>
    </row>
    <row r="127" spans="3:32" x14ac:dyDescent="0.25">
      <c r="C127" s="153" t="s">
        <v>92</v>
      </c>
      <c r="D127" s="164">
        <v>6185167</v>
      </c>
      <c r="E127" s="159" t="s">
        <v>65</v>
      </c>
      <c r="F127" s="10">
        <v>0</v>
      </c>
      <c r="G127" s="10">
        <v>1</v>
      </c>
      <c r="H127" s="10">
        <v>1</v>
      </c>
      <c r="I127" s="10"/>
      <c r="J127" s="10"/>
      <c r="K127" s="10"/>
      <c r="L127" s="10">
        <v>1</v>
      </c>
      <c r="M127" s="10"/>
      <c r="N127" s="10"/>
      <c r="O127" s="10">
        <v>1</v>
      </c>
      <c r="P127" s="10"/>
      <c r="Q127" s="10"/>
      <c r="R127" s="10"/>
      <c r="S127" s="10"/>
      <c r="T127" s="10"/>
      <c r="U127" s="10">
        <v>0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2</v>
      </c>
    </row>
    <row r="128" spans="3:32" x14ac:dyDescent="0.25">
      <c r="C128" s="151" t="s">
        <v>90</v>
      </c>
      <c r="D128" s="167">
        <v>1321044</v>
      </c>
      <c r="E128" s="159" t="s">
        <v>65</v>
      </c>
      <c r="F128" s="10">
        <v>0</v>
      </c>
      <c r="G128" s="10">
        <v>1</v>
      </c>
      <c r="H128" s="10">
        <v>2</v>
      </c>
      <c r="I128" s="10"/>
      <c r="J128" s="10"/>
      <c r="K128" s="10"/>
      <c r="L128" s="10">
        <v>2</v>
      </c>
      <c r="M128" s="10"/>
      <c r="N128" s="10"/>
      <c r="O128" s="10"/>
      <c r="P128" s="10"/>
      <c r="Q128" s="10"/>
      <c r="R128" s="10"/>
      <c r="S128" s="10"/>
      <c r="T128" s="10"/>
      <c r="U128" s="10">
        <v>0</v>
      </c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2</v>
      </c>
    </row>
    <row r="129" spans="3:32" x14ac:dyDescent="0.25">
      <c r="C129" s="151" t="s">
        <v>219</v>
      </c>
      <c r="D129" s="152">
        <v>6491856</v>
      </c>
      <c r="E129" s="164" t="s">
        <v>171</v>
      </c>
      <c r="F129" s="159">
        <v>0</v>
      </c>
      <c r="G129" s="159">
        <v>1</v>
      </c>
      <c r="H129" s="151">
        <v>2</v>
      </c>
      <c r="I129" s="151"/>
      <c r="J129" s="151">
        <v>1</v>
      </c>
      <c r="K129" s="151"/>
      <c r="L129" s="151"/>
      <c r="M129" s="151"/>
      <c r="N129" s="151"/>
      <c r="O129" s="151">
        <v>2</v>
      </c>
      <c r="P129" s="151"/>
      <c r="Q129" s="151"/>
      <c r="R129" s="151"/>
      <c r="S129" s="151"/>
      <c r="T129" s="151" t="s">
        <v>550</v>
      </c>
      <c r="U129" s="151">
        <v>0</v>
      </c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</row>
    <row r="130" spans="3:32" x14ac:dyDescent="0.25">
      <c r="C130" s="148" t="s">
        <v>186</v>
      </c>
      <c r="D130" s="149">
        <v>2513243</v>
      </c>
      <c r="E130" s="159" t="s">
        <v>171</v>
      </c>
      <c r="F130" s="159">
        <v>0</v>
      </c>
      <c r="G130" s="159">
        <v>1</v>
      </c>
      <c r="H130">
        <v>0</v>
      </c>
      <c r="U130">
        <v>0</v>
      </c>
    </row>
    <row r="131" spans="3:32" x14ac:dyDescent="0.25">
      <c r="C131" s="151" t="s">
        <v>277</v>
      </c>
      <c r="D131" s="167">
        <v>4689605</v>
      </c>
      <c r="E131" s="164" t="s">
        <v>242</v>
      </c>
      <c r="F131" s="159">
        <v>0</v>
      </c>
      <c r="G131" s="159">
        <v>1</v>
      </c>
      <c r="H131" s="151">
        <v>0</v>
      </c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U131" s="151">
        <v>0</v>
      </c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</row>
    <row r="132" spans="3:32" x14ac:dyDescent="0.25">
      <c r="C132" s="153" t="s">
        <v>66</v>
      </c>
      <c r="D132" s="164">
        <v>6606902</v>
      </c>
      <c r="E132" s="159" t="s">
        <v>65</v>
      </c>
      <c r="F132" s="10">
        <v>0</v>
      </c>
      <c r="G132" s="10">
        <v>1</v>
      </c>
      <c r="H132" s="10">
        <v>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0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3:32" x14ac:dyDescent="0.25">
      <c r="C133" s="153" t="s">
        <v>159</v>
      </c>
      <c r="D133" s="268" t="s">
        <v>160</v>
      </c>
      <c r="E133" s="10" t="s">
        <v>148</v>
      </c>
      <c r="F133" s="10">
        <v>0</v>
      </c>
      <c r="G133" s="10">
        <v>1</v>
      </c>
      <c r="H133" s="10">
        <v>1</v>
      </c>
      <c r="I133" s="10"/>
      <c r="J133" s="10"/>
      <c r="K133" s="10">
        <v>1</v>
      </c>
      <c r="L133" s="10"/>
      <c r="M133" s="10"/>
      <c r="N133" s="10"/>
      <c r="O133" s="10">
        <v>1</v>
      </c>
      <c r="P133" s="10"/>
      <c r="Q133" s="10"/>
      <c r="R133" s="10"/>
      <c r="S133" s="10"/>
      <c r="T133" s="10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/>
      <c r="AD133" s="10"/>
      <c r="AE133" s="10"/>
      <c r="AF133" s="10"/>
    </row>
    <row r="134" spans="3:32" x14ac:dyDescent="0.25">
      <c r="C134" s="153" t="s">
        <v>110</v>
      </c>
      <c r="D134" s="164">
        <v>5877147</v>
      </c>
      <c r="E134" s="159" t="s">
        <v>65</v>
      </c>
      <c r="F134" s="10">
        <v>0</v>
      </c>
      <c r="G134" s="10">
        <v>1</v>
      </c>
      <c r="H134" s="10">
        <v>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>
        <v>0</v>
      </c>
      <c r="V134" s="10"/>
      <c r="W134" s="10"/>
      <c r="X134" s="10"/>
      <c r="Y134" s="10"/>
      <c r="Z134" s="10"/>
      <c r="AA134" s="10"/>
      <c r="AB134" s="10"/>
      <c r="AC134" s="10"/>
      <c r="AD134" s="10">
        <v>1</v>
      </c>
      <c r="AE134" s="10">
        <v>2</v>
      </c>
    </row>
    <row r="135" spans="3:32" x14ac:dyDescent="0.25">
      <c r="C135" s="153" t="s">
        <v>113</v>
      </c>
      <c r="D135" s="164">
        <v>4080425</v>
      </c>
      <c r="E135" s="159" t="s">
        <v>65</v>
      </c>
      <c r="F135" s="10">
        <v>0</v>
      </c>
      <c r="G135" s="10">
        <v>1</v>
      </c>
      <c r="H135" s="10">
        <v>1</v>
      </c>
      <c r="I135" s="10"/>
      <c r="J135" s="10"/>
      <c r="K135" s="10">
        <v>1</v>
      </c>
      <c r="L135" s="10"/>
      <c r="M135" s="10"/>
      <c r="N135" s="10"/>
      <c r="O135" s="10">
        <v>1</v>
      </c>
      <c r="P135" s="10"/>
      <c r="Q135" s="10"/>
      <c r="R135" s="10"/>
      <c r="S135" s="10"/>
      <c r="T135" s="10"/>
      <c r="U135" s="10">
        <v>0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3:32" x14ac:dyDescent="0.25">
      <c r="C136" s="151" t="s">
        <v>122</v>
      </c>
      <c r="D136" s="167">
        <v>2223185</v>
      </c>
      <c r="E136" s="159" t="s">
        <v>65</v>
      </c>
      <c r="F136" s="13">
        <v>1</v>
      </c>
      <c r="G136" s="13">
        <v>1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spans="3:32" x14ac:dyDescent="0.25">
      <c r="C137" s="153" t="s">
        <v>114</v>
      </c>
      <c r="D137" s="164">
        <v>6722604</v>
      </c>
      <c r="E137" s="159" t="s">
        <v>65</v>
      </c>
      <c r="F137" s="10">
        <v>0</v>
      </c>
      <c r="G137" s="10">
        <v>1</v>
      </c>
      <c r="H137" s="10">
        <v>0</v>
      </c>
      <c r="I137" s="10"/>
      <c r="J137" s="10"/>
      <c r="K137" s="10">
        <v>0</v>
      </c>
      <c r="L137" s="10"/>
      <c r="M137" s="10"/>
      <c r="N137" s="10"/>
      <c r="O137" s="10"/>
      <c r="P137" s="10"/>
      <c r="Q137" s="10">
        <v>1</v>
      </c>
      <c r="R137" s="10"/>
      <c r="S137" s="10"/>
      <c r="T137" s="10"/>
      <c r="U137" s="10">
        <v>0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2</v>
      </c>
    </row>
    <row r="138" spans="3:32" x14ac:dyDescent="0.25">
      <c r="C138" s="148" t="s">
        <v>245</v>
      </c>
      <c r="D138" s="149">
        <v>5522060</v>
      </c>
      <c r="E138" s="159" t="s">
        <v>242</v>
      </c>
      <c r="F138" s="159">
        <v>0</v>
      </c>
      <c r="G138" s="159">
        <v>1</v>
      </c>
      <c r="H138" s="159">
        <v>1</v>
      </c>
      <c r="K138">
        <v>1</v>
      </c>
      <c r="O138">
        <v>1</v>
      </c>
      <c r="T138" t="s">
        <v>246</v>
      </c>
      <c r="U138">
        <v>0</v>
      </c>
    </row>
    <row r="139" spans="3:32" x14ac:dyDescent="0.25">
      <c r="C139" s="174" t="s">
        <v>268</v>
      </c>
      <c r="D139" s="158">
        <v>5338778</v>
      </c>
      <c r="E139" s="158" t="s">
        <v>242</v>
      </c>
      <c r="F139" s="159">
        <v>0</v>
      </c>
      <c r="G139" s="159">
        <v>1</v>
      </c>
      <c r="H139">
        <v>0</v>
      </c>
      <c r="U139">
        <v>0</v>
      </c>
    </row>
    <row r="140" spans="3:32" x14ac:dyDescent="0.25">
      <c r="C140" t="s">
        <v>238</v>
      </c>
      <c r="D140" s="152">
        <v>2606163</v>
      </c>
      <c r="E140" s="158" t="s">
        <v>171</v>
      </c>
      <c r="F140" s="159">
        <v>0</v>
      </c>
      <c r="G140" s="159">
        <v>1</v>
      </c>
      <c r="H140">
        <v>1</v>
      </c>
      <c r="K140">
        <v>1</v>
      </c>
      <c r="U140" s="151">
        <v>0</v>
      </c>
    </row>
    <row r="141" spans="3:32" x14ac:dyDescent="0.25">
      <c r="C141" s="153" t="s">
        <v>61</v>
      </c>
      <c r="D141" s="164">
        <v>3350992</v>
      </c>
      <c r="E141" s="159" t="s">
        <v>32</v>
      </c>
      <c r="F141" s="10">
        <v>0</v>
      </c>
      <c r="G141" s="10">
        <v>1</v>
      </c>
      <c r="H141" s="10">
        <v>0</v>
      </c>
      <c r="I141" s="10"/>
      <c r="J141" s="10"/>
      <c r="K141" s="10"/>
      <c r="L141" s="10"/>
      <c r="M141" s="10"/>
      <c r="N141" s="10"/>
      <c r="O141" s="10"/>
      <c r="P141" s="10"/>
      <c r="Q141" s="10">
        <v>0</v>
      </c>
      <c r="R141" s="10"/>
      <c r="S141" s="10"/>
      <c r="T141" s="10"/>
      <c r="U141" s="10">
        <v>0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</row>
    <row r="142" spans="3:32" x14ac:dyDescent="0.25">
      <c r="C142" s="157" t="s">
        <v>286</v>
      </c>
      <c r="D142" s="158">
        <v>2202418</v>
      </c>
      <c r="E142" s="158" t="s">
        <v>242</v>
      </c>
      <c r="F142" s="158">
        <v>1</v>
      </c>
      <c r="G142" s="159">
        <v>1</v>
      </c>
    </row>
    <row r="143" spans="3:32" x14ac:dyDescent="0.25">
      <c r="C143" s="151" t="s">
        <v>112</v>
      </c>
      <c r="D143" s="164">
        <v>957141</v>
      </c>
      <c r="E143" s="159" t="s">
        <v>65</v>
      </c>
      <c r="F143" s="10">
        <v>0</v>
      </c>
      <c r="G143" s="10">
        <v>1</v>
      </c>
      <c r="H143" s="10">
        <v>1</v>
      </c>
      <c r="I143" s="10"/>
      <c r="J143" s="10"/>
      <c r="K143" s="10">
        <v>1</v>
      </c>
      <c r="L143" s="10"/>
      <c r="M143" s="10"/>
      <c r="N143" s="10"/>
      <c r="O143" s="10">
        <v>1</v>
      </c>
      <c r="P143" s="10"/>
      <c r="Q143" s="10"/>
      <c r="R143" s="10"/>
      <c r="S143" s="10"/>
      <c r="T143" s="10"/>
      <c r="U143" s="10">
        <v>0</v>
      </c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2</v>
      </c>
    </row>
    <row r="144" spans="3:32" x14ac:dyDescent="0.25">
      <c r="C144" s="151" t="s">
        <v>285</v>
      </c>
      <c r="D144" s="152">
        <v>6430250</v>
      </c>
      <c r="E144" s="164" t="s">
        <v>242</v>
      </c>
      <c r="F144" s="159">
        <v>0</v>
      </c>
      <c r="G144" s="159">
        <v>1</v>
      </c>
      <c r="H144" s="151">
        <v>0</v>
      </c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>
        <v>0</v>
      </c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</row>
    <row r="145" spans="3:31" x14ac:dyDescent="0.25">
      <c r="C145" s="151" t="s">
        <v>292</v>
      </c>
      <c r="D145" s="175">
        <v>1317813</v>
      </c>
      <c r="E145" s="164" t="s">
        <v>242</v>
      </c>
      <c r="F145" s="164">
        <v>0</v>
      </c>
      <c r="G145" s="159">
        <v>1</v>
      </c>
      <c r="H145" s="151">
        <v>1</v>
      </c>
      <c r="I145" s="151"/>
      <c r="J145" s="151"/>
      <c r="K145" s="151">
        <v>1</v>
      </c>
      <c r="L145" s="151"/>
      <c r="M145" s="151"/>
      <c r="N145" s="151"/>
      <c r="O145" s="151">
        <v>1</v>
      </c>
      <c r="P145" s="151"/>
      <c r="Q145" s="151"/>
      <c r="R145" s="151"/>
      <c r="S145" s="151"/>
      <c r="T145" s="151"/>
      <c r="U145" s="151">
        <v>0</v>
      </c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</row>
    <row r="146" spans="3:31" x14ac:dyDescent="0.25">
      <c r="C146" t="s">
        <v>274</v>
      </c>
      <c r="D146" s="6">
        <v>3446956</v>
      </c>
      <c r="E146" s="158" t="s">
        <v>242</v>
      </c>
      <c r="F146" s="159">
        <v>0</v>
      </c>
      <c r="G146" s="159">
        <v>1</v>
      </c>
      <c r="H146" s="165">
        <v>0</v>
      </c>
      <c r="U146" s="165">
        <v>0</v>
      </c>
    </row>
    <row r="147" spans="3:31" x14ac:dyDescent="0.25">
      <c r="C147" s="165" t="s">
        <v>276</v>
      </c>
      <c r="D147" s="170">
        <v>1819735</v>
      </c>
      <c r="E147" s="159" t="s">
        <v>242</v>
      </c>
      <c r="F147" s="159">
        <v>0</v>
      </c>
      <c r="G147" s="159">
        <v>1</v>
      </c>
      <c r="H147" s="165">
        <v>1</v>
      </c>
      <c r="I147" s="165"/>
      <c r="J147" s="165"/>
      <c r="K147" s="165"/>
      <c r="L147" s="165"/>
      <c r="M147" s="165"/>
      <c r="N147" s="165"/>
      <c r="O147" s="165">
        <v>1</v>
      </c>
      <c r="P147" s="165"/>
      <c r="Q147" s="165"/>
      <c r="R147" s="165"/>
      <c r="S147" s="165"/>
      <c r="T147" s="165"/>
      <c r="U147" s="165">
        <v>1</v>
      </c>
      <c r="V147" s="165"/>
      <c r="W147" s="165"/>
      <c r="X147" s="165"/>
      <c r="Y147" s="165"/>
      <c r="Z147" s="165">
        <v>1</v>
      </c>
      <c r="AA147" s="165"/>
      <c r="AB147" s="165"/>
      <c r="AC147" s="165"/>
      <c r="AD147" s="165"/>
      <c r="AE147" s="165"/>
    </row>
    <row r="148" spans="3:31" x14ac:dyDescent="0.25">
      <c r="C148" s="151" t="s">
        <v>80</v>
      </c>
      <c r="D148" s="167">
        <v>6535928</v>
      </c>
      <c r="E148" s="159" t="s">
        <v>65</v>
      </c>
      <c r="F148" s="10">
        <v>0</v>
      </c>
      <c r="G148" s="10">
        <v>1</v>
      </c>
      <c r="H148" s="10">
        <v>1</v>
      </c>
      <c r="I148" s="10"/>
      <c r="J148" s="10"/>
      <c r="K148" s="10"/>
      <c r="L148" s="10">
        <v>1</v>
      </c>
      <c r="M148" s="10">
        <v>1</v>
      </c>
      <c r="N148" s="10"/>
      <c r="O148" s="10"/>
      <c r="P148" s="10"/>
      <c r="Q148" s="10"/>
      <c r="R148" s="10"/>
      <c r="S148" s="10"/>
      <c r="T148" s="10"/>
      <c r="U148" s="10">
        <v>0</v>
      </c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3:31" x14ac:dyDescent="0.25">
      <c r="C149" s="153" t="s">
        <v>279</v>
      </c>
      <c r="D149" s="164">
        <v>568973</v>
      </c>
      <c r="E149" s="164" t="s">
        <v>242</v>
      </c>
      <c r="F149" s="159">
        <v>0</v>
      </c>
      <c r="G149" s="159">
        <v>1</v>
      </c>
      <c r="H149" s="151">
        <v>2</v>
      </c>
      <c r="I149" s="151"/>
      <c r="J149" s="151"/>
      <c r="K149" s="151"/>
      <c r="L149" s="151"/>
      <c r="M149" s="151"/>
      <c r="N149" s="151"/>
      <c r="O149" s="151">
        <v>2</v>
      </c>
      <c r="P149" s="151"/>
      <c r="Q149" s="151"/>
      <c r="R149" s="151"/>
      <c r="S149" s="151"/>
      <c r="T149" s="151"/>
      <c r="U149" s="151">
        <v>0</v>
      </c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</row>
    <row r="150" spans="3:31" x14ac:dyDescent="0.25">
      <c r="C150" s="153" t="s">
        <v>241</v>
      </c>
      <c r="D150" s="154">
        <v>4184793</v>
      </c>
      <c r="E150" s="164" t="s">
        <v>171</v>
      </c>
      <c r="F150" s="158">
        <v>1</v>
      </c>
      <c r="G150" s="164">
        <v>1</v>
      </c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</row>
    <row r="151" spans="3:31" x14ac:dyDescent="0.25">
      <c r="C151" s="165" t="s">
        <v>281</v>
      </c>
      <c r="D151" s="156">
        <v>5322599</v>
      </c>
      <c r="E151" s="159" t="s">
        <v>242</v>
      </c>
      <c r="F151" s="159">
        <v>0</v>
      </c>
      <c r="G151" s="159">
        <v>1</v>
      </c>
      <c r="H151" s="165">
        <v>0</v>
      </c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>
        <v>0</v>
      </c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</row>
    <row r="152" spans="3:31" x14ac:dyDescent="0.25">
      <c r="C152" s="151" t="s">
        <v>85</v>
      </c>
      <c r="D152" s="167">
        <v>3501315</v>
      </c>
      <c r="E152" s="164" t="s">
        <v>65</v>
      </c>
      <c r="F152" s="10">
        <v>0</v>
      </c>
      <c r="G152" s="10">
        <v>1</v>
      </c>
      <c r="H152" s="10">
        <v>0</v>
      </c>
      <c r="I152" s="10"/>
      <c r="J152" s="10"/>
      <c r="K152" s="10"/>
      <c r="L152" s="10"/>
      <c r="M152" s="10"/>
      <c r="N152" s="10"/>
      <c r="O152" s="10"/>
      <c r="P152" s="10"/>
      <c r="Q152" s="10">
        <v>1</v>
      </c>
      <c r="R152" s="10"/>
      <c r="S152" s="10"/>
      <c r="T152" s="10"/>
      <c r="U152" s="10">
        <v>0</v>
      </c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2</v>
      </c>
    </row>
    <row r="153" spans="3:31" x14ac:dyDescent="0.25">
      <c r="C153" s="153" t="s">
        <v>107</v>
      </c>
      <c r="D153" s="164">
        <v>3501458</v>
      </c>
      <c r="E153" s="159" t="s">
        <v>65</v>
      </c>
      <c r="F153" s="10">
        <v>0</v>
      </c>
      <c r="G153" s="10">
        <v>1</v>
      </c>
      <c r="H153" s="10">
        <v>1</v>
      </c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>
        <v>0</v>
      </c>
      <c r="V153" s="10"/>
      <c r="W153" s="10"/>
      <c r="X153" s="10"/>
      <c r="Y153" s="10"/>
      <c r="Z153" s="10"/>
      <c r="AA153" s="10"/>
      <c r="AB153" s="10"/>
      <c r="AC153" s="10"/>
      <c r="AD153" s="10">
        <v>1</v>
      </c>
      <c r="AE153" s="10">
        <v>2</v>
      </c>
    </row>
    <row r="154" spans="3:31" x14ac:dyDescent="0.25">
      <c r="C154" s="153" t="s">
        <v>71</v>
      </c>
      <c r="D154" s="164">
        <v>6559599</v>
      </c>
      <c r="E154" s="159" t="s">
        <v>65</v>
      </c>
      <c r="F154" s="13">
        <v>1</v>
      </c>
      <c r="G154" s="13">
        <v>1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spans="3:31" x14ac:dyDescent="0.25">
      <c r="C155" s="153" t="s">
        <v>126</v>
      </c>
      <c r="D155" s="164">
        <v>6324630</v>
      </c>
      <c r="E155" s="164" t="s">
        <v>65</v>
      </c>
      <c r="F155" s="13">
        <v>1</v>
      </c>
      <c r="G155" s="13">
        <v>1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spans="3:31" x14ac:dyDescent="0.25">
      <c r="C156" t="s">
        <v>237</v>
      </c>
      <c r="D156" s="163">
        <v>3567123</v>
      </c>
      <c r="E156" s="158" t="s">
        <v>171</v>
      </c>
      <c r="F156" s="159">
        <v>0</v>
      </c>
      <c r="G156" s="159">
        <v>1</v>
      </c>
      <c r="H156">
        <v>2</v>
      </c>
      <c r="K156">
        <v>2</v>
      </c>
      <c r="U156">
        <v>0</v>
      </c>
    </row>
    <row r="157" spans="3:31" x14ac:dyDescent="0.25">
      <c r="C157" s="151" t="s">
        <v>295</v>
      </c>
      <c r="D157" s="152">
        <v>5615152</v>
      </c>
      <c r="E157" s="164" t="s">
        <v>242</v>
      </c>
      <c r="F157" s="158">
        <v>1</v>
      </c>
      <c r="G157" s="159">
        <v>1</v>
      </c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</row>
    <row r="158" spans="3:31" x14ac:dyDescent="0.25">
      <c r="C158" s="159" t="s">
        <v>35</v>
      </c>
      <c r="D158" s="159">
        <v>2461167</v>
      </c>
      <c r="E158" s="159" t="s">
        <v>36</v>
      </c>
      <c r="F158" s="13">
        <v>1</v>
      </c>
      <c r="G158" s="13">
        <v>1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spans="3:31" x14ac:dyDescent="0.25">
      <c r="C159" s="153" t="s">
        <v>70</v>
      </c>
      <c r="D159" s="164">
        <v>4640520</v>
      </c>
      <c r="E159" s="159" t="s">
        <v>49</v>
      </c>
      <c r="F159" s="13">
        <v>1</v>
      </c>
      <c r="G159" s="13">
        <v>1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spans="3:31" x14ac:dyDescent="0.25">
      <c r="C160" s="153" t="s">
        <v>74</v>
      </c>
      <c r="D160" s="164">
        <v>5371431</v>
      </c>
      <c r="E160" s="159" t="s">
        <v>65</v>
      </c>
      <c r="F160" s="10">
        <v>0</v>
      </c>
      <c r="G160" s="10">
        <v>1</v>
      </c>
      <c r="H160" s="10">
        <v>1</v>
      </c>
      <c r="I160" s="10"/>
      <c r="J160" s="10"/>
      <c r="K160" s="10">
        <v>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>
        <v>0</v>
      </c>
      <c r="V160" s="10"/>
      <c r="W160" s="10"/>
      <c r="X160" s="10"/>
      <c r="Y160" s="10"/>
      <c r="Z160" s="10"/>
      <c r="AA160" s="10"/>
      <c r="AB160" s="10"/>
      <c r="AC160" s="10"/>
      <c r="AD160" s="10">
        <v>1</v>
      </c>
      <c r="AE160" s="10"/>
    </row>
    <row r="161" spans="3:32" x14ac:dyDescent="0.25">
      <c r="C161" s="159" t="s">
        <v>41</v>
      </c>
      <c r="D161" s="159">
        <v>6378361</v>
      </c>
      <c r="E161" s="159" t="s">
        <v>32</v>
      </c>
      <c r="F161" s="13">
        <v>1</v>
      </c>
      <c r="G161" s="13">
        <v>1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spans="3:32" x14ac:dyDescent="0.25">
      <c r="C162" s="157" t="s">
        <v>239</v>
      </c>
      <c r="D162" s="160">
        <v>2045165</v>
      </c>
      <c r="E162" s="158" t="s">
        <v>171</v>
      </c>
      <c r="F162" s="159">
        <v>0</v>
      </c>
      <c r="G162" s="159">
        <v>1</v>
      </c>
      <c r="H162" s="151">
        <v>3</v>
      </c>
      <c r="J162">
        <v>3</v>
      </c>
      <c r="K162">
        <v>2</v>
      </c>
      <c r="M162">
        <v>2</v>
      </c>
      <c r="O162">
        <v>2</v>
      </c>
      <c r="P162">
        <v>2</v>
      </c>
      <c r="T162" t="s">
        <v>555</v>
      </c>
      <c r="U162">
        <v>0</v>
      </c>
    </row>
    <row r="163" spans="3:32" x14ac:dyDescent="0.25">
      <c r="C163" s="186" t="s">
        <v>43</v>
      </c>
      <c r="D163" s="186">
        <v>6007874</v>
      </c>
      <c r="E163" s="169" t="s">
        <v>32</v>
      </c>
      <c r="F163" s="13">
        <v>1</v>
      </c>
      <c r="G163" s="13">
        <v>1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spans="3:32" x14ac:dyDescent="0.25">
      <c r="C164" s="153" t="s">
        <v>101</v>
      </c>
      <c r="D164" s="164">
        <v>1248363</v>
      </c>
      <c r="E164" s="159" t="s">
        <v>65</v>
      </c>
      <c r="F164" s="10">
        <v>0</v>
      </c>
      <c r="G164" s="10">
        <v>1</v>
      </c>
      <c r="H164" s="10">
        <v>1</v>
      </c>
      <c r="I164" s="10"/>
      <c r="J164" s="10"/>
      <c r="K164" s="10">
        <v>1</v>
      </c>
      <c r="L164" s="10"/>
      <c r="M164" s="10"/>
      <c r="N164" s="10"/>
      <c r="O164" s="10">
        <v>1</v>
      </c>
      <c r="P164" s="10"/>
      <c r="Q164" s="10"/>
      <c r="R164" s="10"/>
      <c r="S164" s="10"/>
      <c r="T164" s="10"/>
      <c r="U164" s="10">
        <v>0</v>
      </c>
      <c r="V164" s="10"/>
      <c r="W164" s="10"/>
      <c r="X164" s="10"/>
      <c r="Y164" s="10"/>
      <c r="Z164" s="10"/>
      <c r="AA164" s="10"/>
      <c r="AB164" s="10"/>
      <c r="AC164" s="10"/>
      <c r="AD164" s="10">
        <v>1</v>
      </c>
      <c r="AE164" s="10">
        <v>2</v>
      </c>
    </row>
    <row r="165" spans="3:32" x14ac:dyDescent="0.25">
      <c r="C165" s="151" t="s">
        <v>288</v>
      </c>
      <c r="D165" s="152">
        <v>6259132</v>
      </c>
      <c r="E165" s="164" t="s">
        <v>242</v>
      </c>
      <c r="F165" s="159">
        <v>0</v>
      </c>
      <c r="G165" s="159">
        <v>1</v>
      </c>
      <c r="H165" s="151">
        <v>0</v>
      </c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>
        <v>0</v>
      </c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</row>
    <row r="166" spans="3:32" x14ac:dyDescent="0.25">
      <c r="C166" s="157" t="s">
        <v>180</v>
      </c>
      <c r="D166" s="160">
        <v>3608742</v>
      </c>
      <c r="E166" s="158" t="s">
        <v>171</v>
      </c>
      <c r="F166" s="159">
        <v>0</v>
      </c>
      <c r="G166" s="159">
        <v>1</v>
      </c>
      <c r="H166">
        <v>2</v>
      </c>
      <c r="I166" s="17"/>
      <c r="K166">
        <v>2</v>
      </c>
      <c r="L166">
        <v>2</v>
      </c>
      <c r="O166">
        <v>2</v>
      </c>
      <c r="U166">
        <v>1</v>
      </c>
      <c r="X166">
        <v>1</v>
      </c>
      <c r="Z166">
        <v>1</v>
      </c>
    </row>
    <row r="167" spans="3:32" x14ac:dyDescent="0.25">
      <c r="C167" s="153" t="s">
        <v>283</v>
      </c>
      <c r="D167" s="164">
        <v>1978750</v>
      </c>
      <c r="E167" s="164" t="s">
        <v>242</v>
      </c>
      <c r="F167" s="159">
        <v>0</v>
      </c>
      <c r="G167" s="159">
        <v>1</v>
      </c>
      <c r="H167" s="151">
        <v>1</v>
      </c>
      <c r="I167" s="151"/>
      <c r="J167" s="151"/>
      <c r="K167" s="151">
        <v>1</v>
      </c>
      <c r="L167" s="151"/>
      <c r="M167" s="151">
        <v>1</v>
      </c>
      <c r="N167" s="151"/>
      <c r="O167" s="151"/>
      <c r="P167" s="151"/>
      <c r="Q167" s="151"/>
      <c r="R167" s="151"/>
      <c r="S167" s="151"/>
      <c r="T167" s="151"/>
      <c r="U167" s="151">
        <v>0</v>
      </c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</row>
    <row r="168" spans="3:32" x14ac:dyDescent="0.25">
      <c r="C168" s="153" t="s">
        <v>108</v>
      </c>
      <c r="D168" s="164">
        <v>4886388</v>
      </c>
      <c r="E168" s="159" t="s">
        <v>65</v>
      </c>
      <c r="F168" s="10">
        <v>0</v>
      </c>
      <c r="G168" s="10">
        <v>1</v>
      </c>
      <c r="H168" s="10">
        <v>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/>
      <c r="W168" s="10"/>
      <c r="X168" s="10"/>
      <c r="Y168" s="10"/>
      <c r="Z168" s="10">
        <v>1</v>
      </c>
      <c r="AA168" s="10">
        <v>1</v>
      </c>
      <c r="AB168" s="10"/>
      <c r="AC168" s="10"/>
      <c r="AD168" s="10"/>
      <c r="AE168" s="10">
        <v>2</v>
      </c>
    </row>
    <row r="169" spans="3:32" x14ac:dyDescent="0.25">
      <c r="C169" s="153" t="s">
        <v>161</v>
      </c>
      <c r="D169" s="268" t="s">
        <v>162</v>
      </c>
      <c r="E169" s="10" t="s">
        <v>148</v>
      </c>
      <c r="F169" s="13">
        <v>1</v>
      </c>
      <c r="G169" s="13">
        <v>1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0"/>
    </row>
    <row r="170" spans="3:32" x14ac:dyDescent="0.25">
      <c r="C170" s="148" t="s">
        <v>256</v>
      </c>
      <c r="D170" s="149">
        <v>1258937</v>
      </c>
      <c r="E170" s="159" t="s">
        <v>242</v>
      </c>
      <c r="F170" s="159">
        <v>0</v>
      </c>
      <c r="G170" s="159">
        <v>1</v>
      </c>
      <c r="H170">
        <v>0</v>
      </c>
      <c r="U170">
        <v>0</v>
      </c>
    </row>
    <row r="171" spans="3:32" x14ac:dyDescent="0.25">
      <c r="C171" s="151" t="s">
        <v>121</v>
      </c>
      <c r="D171" s="167">
        <v>6731240</v>
      </c>
      <c r="E171" s="159" t="s">
        <v>65</v>
      </c>
      <c r="F171" s="10">
        <v>0</v>
      </c>
      <c r="G171" s="10">
        <v>1</v>
      </c>
      <c r="H171" s="10">
        <v>1</v>
      </c>
      <c r="I171" s="10"/>
      <c r="J171" s="10"/>
      <c r="K171" s="10">
        <v>1</v>
      </c>
      <c r="L171" s="10">
        <v>1</v>
      </c>
      <c r="M171" s="10"/>
      <c r="N171" s="10"/>
      <c r="O171" s="10">
        <v>1</v>
      </c>
      <c r="P171" s="10"/>
      <c r="Q171" s="10"/>
      <c r="R171" s="10"/>
      <c r="S171" s="10"/>
      <c r="T171" s="10"/>
      <c r="U171" s="10">
        <v>0</v>
      </c>
      <c r="V171" s="10"/>
      <c r="W171" s="10"/>
      <c r="X171" s="10"/>
      <c r="Y171" s="10"/>
      <c r="Z171" s="10"/>
      <c r="AA171" s="10"/>
      <c r="AB171" s="10"/>
      <c r="AC171" s="10"/>
      <c r="AD171" s="10">
        <v>1</v>
      </c>
      <c r="AE171" s="10">
        <v>2</v>
      </c>
    </row>
    <row r="172" spans="3:32" x14ac:dyDescent="0.25">
      <c r="C172" s="165" t="s">
        <v>48</v>
      </c>
      <c r="D172" s="170">
        <v>6517497</v>
      </c>
      <c r="E172" s="159" t="s">
        <v>49</v>
      </c>
      <c r="F172" s="10">
        <v>0</v>
      </c>
      <c r="G172" s="10">
        <v>1</v>
      </c>
      <c r="H172" s="10">
        <v>1</v>
      </c>
      <c r="I172" s="10"/>
      <c r="J172" s="10"/>
      <c r="K172" s="10">
        <v>1</v>
      </c>
      <c r="L172" s="10"/>
      <c r="M172" s="10"/>
      <c r="N172" s="10"/>
      <c r="O172" s="10">
        <v>1</v>
      </c>
      <c r="P172" s="10"/>
      <c r="Q172" s="10">
        <v>1</v>
      </c>
      <c r="R172" s="10"/>
      <c r="S172" s="10"/>
      <c r="T172" s="10"/>
      <c r="U172" s="10">
        <v>1</v>
      </c>
      <c r="V172" s="10"/>
      <c r="W172" s="10"/>
      <c r="X172" s="10"/>
      <c r="Y172" s="10"/>
      <c r="Z172" s="10">
        <v>1</v>
      </c>
      <c r="AA172" s="10"/>
      <c r="AB172" s="10"/>
      <c r="AC172" s="10"/>
      <c r="AD172" s="10"/>
      <c r="AE172" s="10"/>
      <c r="AF172" t="s">
        <v>532</v>
      </c>
    </row>
    <row r="173" spans="3:32" x14ac:dyDescent="0.25">
      <c r="C173" s="151" t="s">
        <v>47</v>
      </c>
      <c r="D173" s="167">
        <v>6499494</v>
      </c>
      <c r="E173" s="159" t="s">
        <v>32</v>
      </c>
      <c r="F173" s="13">
        <v>1</v>
      </c>
      <c r="G173" s="13">
        <v>1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spans="3:32" x14ac:dyDescent="0.25">
      <c r="C174" s="148" t="s">
        <v>249</v>
      </c>
      <c r="D174" s="149">
        <v>2279275</v>
      </c>
      <c r="E174" s="159" t="s">
        <v>242</v>
      </c>
      <c r="F174" s="159">
        <v>0</v>
      </c>
      <c r="G174" s="159">
        <v>1</v>
      </c>
      <c r="H174">
        <v>0</v>
      </c>
      <c r="U174">
        <v>0</v>
      </c>
    </row>
    <row r="175" spans="3:32" x14ac:dyDescent="0.25">
      <c r="C175" s="151" t="s">
        <v>300</v>
      </c>
      <c r="D175" s="163">
        <v>6495503</v>
      </c>
      <c r="E175" s="149" t="s">
        <v>242</v>
      </c>
      <c r="F175" s="159">
        <v>0</v>
      </c>
      <c r="G175" s="159">
        <v>1</v>
      </c>
      <c r="H175" s="151">
        <v>0</v>
      </c>
      <c r="J175" s="151"/>
      <c r="U175" s="151">
        <v>0</v>
      </c>
    </row>
    <row r="176" spans="3:32" x14ac:dyDescent="0.25">
      <c r="C176" s="151" t="s">
        <v>111</v>
      </c>
      <c r="D176" s="164">
        <v>950828</v>
      </c>
      <c r="E176" s="159" t="s">
        <v>65</v>
      </c>
      <c r="F176" s="13">
        <v>1</v>
      </c>
      <c r="G176" s="13">
        <v>1</v>
      </c>
      <c r="H176" s="13"/>
      <c r="I176" s="1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spans="3:32" x14ac:dyDescent="0.25">
      <c r="C177" s="159" t="s">
        <v>258</v>
      </c>
      <c r="D177" s="149">
        <v>6346687</v>
      </c>
      <c r="E177" s="159" t="s">
        <v>242</v>
      </c>
      <c r="F177" s="159">
        <v>0</v>
      </c>
      <c r="G177" s="159">
        <v>1</v>
      </c>
      <c r="H177">
        <v>1</v>
      </c>
      <c r="O177">
        <v>1</v>
      </c>
      <c r="U177">
        <v>1</v>
      </c>
      <c r="W177">
        <v>1</v>
      </c>
    </row>
    <row r="178" spans="3:32" x14ac:dyDescent="0.25">
      <c r="C178" s="159" t="s">
        <v>34</v>
      </c>
      <c r="D178" s="159">
        <v>2144782</v>
      </c>
      <c r="E178" s="159" t="s">
        <v>32</v>
      </c>
      <c r="F178" s="10">
        <v>0</v>
      </c>
      <c r="G178" s="10">
        <v>1</v>
      </c>
      <c r="H178" s="10">
        <v>1</v>
      </c>
      <c r="I178" s="10"/>
      <c r="J178" s="10"/>
      <c r="K178" s="10">
        <v>2</v>
      </c>
      <c r="L178" s="10"/>
      <c r="M178" s="10">
        <v>1</v>
      </c>
      <c r="N178" s="10"/>
      <c r="O178" s="10"/>
      <c r="P178" s="10"/>
      <c r="Q178" s="10">
        <v>1</v>
      </c>
      <c r="R178" s="10">
        <v>1</v>
      </c>
      <c r="S178" s="10"/>
      <c r="T178" s="10"/>
      <c r="U178" s="10">
        <v>1</v>
      </c>
      <c r="V178" s="10"/>
      <c r="W178" s="10">
        <v>1</v>
      </c>
      <c r="X178" s="10"/>
      <c r="Y178" s="10"/>
      <c r="Z178" s="10"/>
      <c r="AA178" s="10"/>
      <c r="AB178" s="10"/>
      <c r="AC178" s="10"/>
      <c r="AD178" s="10"/>
      <c r="AE178" s="10"/>
    </row>
    <row r="179" spans="3:32" x14ac:dyDescent="0.25">
      <c r="C179" s="182" t="s">
        <v>128</v>
      </c>
      <c r="D179" s="164">
        <v>3439354</v>
      </c>
      <c r="E179" s="159" t="s">
        <v>65</v>
      </c>
      <c r="F179" s="10">
        <v>0</v>
      </c>
      <c r="G179" s="10">
        <v>1</v>
      </c>
      <c r="H179" s="10">
        <v>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>
        <v>0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3:32" x14ac:dyDescent="0.25">
      <c r="C180" s="167" t="s">
        <v>167</v>
      </c>
      <c r="D180" s="267">
        <v>5882236</v>
      </c>
      <c r="E180" s="10" t="s">
        <v>148</v>
      </c>
      <c r="F180" s="10">
        <v>0</v>
      </c>
      <c r="G180" s="10">
        <v>1</v>
      </c>
      <c r="H180" s="10">
        <v>1</v>
      </c>
      <c r="I180" s="10"/>
      <c r="J180" s="10"/>
      <c r="K180" s="10">
        <v>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/>
      <c r="AD180" s="10">
        <v>0</v>
      </c>
      <c r="AE180" s="10">
        <v>1</v>
      </c>
      <c r="AF180" s="10"/>
    </row>
    <row r="181" spans="3:32" x14ac:dyDescent="0.25">
      <c r="C181" s="153" t="s">
        <v>213</v>
      </c>
      <c r="D181" s="154">
        <v>524859</v>
      </c>
      <c r="E181" s="164" t="s">
        <v>171</v>
      </c>
      <c r="F181" s="158">
        <v>1</v>
      </c>
      <c r="G181" s="164">
        <v>1</v>
      </c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</row>
    <row r="182" spans="3:32" x14ac:dyDescent="0.25">
      <c r="C182" t="s">
        <v>45</v>
      </c>
      <c r="D182" s="6">
        <v>6441005</v>
      </c>
      <c r="E182" s="159" t="s">
        <v>32</v>
      </c>
      <c r="F182" s="13">
        <v>1</v>
      </c>
      <c r="G182" s="13">
        <v>1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spans="3:32" x14ac:dyDescent="0.25">
      <c r="C183" s="155" t="s">
        <v>196</v>
      </c>
      <c r="D183" s="160">
        <v>1505916</v>
      </c>
      <c r="E183" s="158" t="s">
        <v>171</v>
      </c>
      <c r="F183" s="158">
        <v>1</v>
      </c>
      <c r="G183" s="159">
        <v>1</v>
      </c>
    </row>
    <row r="184" spans="3:32" x14ac:dyDescent="0.25">
      <c r="C184" s="208" t="s">
        <v>164</v>
      </c>
      <c r="D184" s="267">
        <v>3361340</v>
      </c>
      <c r="E184" s="10" t="s">
        <v>148</v>
      </c>
      <c r="F184" s="10">
        <v>0</v>
      </c>
      <c r="G184" s="10">
        <v>1</v>
      </c>
      <c r="H184" s="10">
        <v>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>
        <v>1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1</v>
      </c>
      <c r="AC184" s="10"/>
      <c r="AD184" s="10"/>
      <c r="AE184" s="10">
        <v>0</v>
      </c>
      <c r="AF184" s="10"/>
    </row>
    <row r="185" spans="3:32" x14ac:dyDescent="0.25">
      <c r="C185" s="165" t="s">
        <v>206</v>
      </c>
      <c r="D185" s="149">
        <v>242136</v>
      </c>
      <c r="E185" s="159" t="s">
        <v>171</v>
      </c>
      <c r="F185" s="159">
        <v>0</v>
      </c>
      <c r="G185" s="159">
        <v>1</v>
      </c>
      <c r="H185" s="165">
        <v>1</v>
      </c>
      <c r="I185" s="165"/>
      <c r="J185" s="165"/>
      <c r="K185" s="165">
        <v>1</v>
      </c>
      <c r="L185" s="165"/>
      <c r="M185" s="165"/>
      <c r="N185" s="165"/>
      <c r="O185" s="165">
        <v>1</v>
      </c>
      <c r="P185" s="165"/>
      <c r="Q185" s="165"/>
      <c r="R185" s="165"/>
      <c r="S185" s="165"/>
      <c r="T185" s="165"/>
      <c r="U185" s="165">
        <v>0</v>
      </c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</row>
    <row r="186" spans="3:32" x14ac:dyDescent="0.25">
      <c r="C186" s="153" t="s">
        <v>67</v>
      </c>
      <c r="D186" s="164">
        <v>5495453</v>
      </c>
      <c r="E186" s="159" t="s">
        <v>65</v>
      </c>
      <c r="F186" s="13">
        <v>1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spans="3:32" x14ac:dyDescent="0.25">
      <c r="C187" s="151" t="s">
        <v>89</v>
      </c>
      <c r="D187" s="167">
        <v>4012359</v>
      </c>
      <c r="E187" s="159" t="s">
        <v>65</v>
      </c>
      <c r="F187" s="10">
        <v>0</v>
      </c>
      <c r="G187" s="10">
        <v>1</v>
      </c>
      <c r="H187" s="10">
        <v>1</v>
      </c>
      <c r="I187" s="10"/>
      <c r="J187" s="10"/>
      <c r="K187" s="10"/>
      <c r="L187" s="10">
        <v>1</v>
      </c>
      <c r="M187" s="10"/>
      <c r="N187" s="10"/>
      <c r="O187" s="10">
        <v>1</v>
      </c>
      <c r="P187" s="10"/>
      <c r="Q187" s="10"/>
      <c r="R187" s="10"/>
      <c r="S187" s="10"/>
      <c r="T187" s="10"/>
      <c r="U187" s="10">
        <v>0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>
        <v>2</v>
      </c>
    </row>
    <row r="188" spans="3:32" x14ac:dyDescent="0.25">
      <c r="C188" s="159" t="s">
        <v>31</v>
      </c>
      <c r="D188" s="159">
        <v>860879</v>
      </c>
      <c r="E188" s="159" t="s">
        <v>32</v>
      </c>
      <c r="F188" s="10">
        <v>0</v>
      </c>
      <c r="G188" s="10">
        <v>1</v>
      </c>
      <c r="H188" s="10">
        <v>1</v>
      </c>
      <c r="I188" s="10"/>
      <c r="J188" s="10"/>
      <c r="K188" s="10">
        <v>1</v>
      </c>
      <c r="L188" s="10"/>
      <c r="M188" s="10"/>
      <c r="N188" s="10"/>
      <c r="O188" s="10">
        <v>1</v>
      </c>
      <c r="P188" s="10"/>
      <c r="Q188" s="10"/>
      <c r="R188" s="10"/>
      <c r="S188" s="10"/>
      <c r="T188" s="10"/>
      <c r="U188" s="10">
        <v>0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>
        <v>1</v>
      </c>
    </row>
    <row r="189" spans="3:32" x14ac:dyDescent="0.25">
      <c r="C189" s="176" t="s">
        <v>216</v>
      </c>
      <c r="D189" s="177">
        <v>1766448</v>
      </c>
      <c r="E189" s="164" t="s">
        <v>171</v>
      </c>
      <c r="F189" s="159">
        <v>0</v>
      </c>
      <c r="G189" s="159">
        <v>1</v>
      </c>
      <c r="H189" s="151">
        <v>0</v>
      </c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>
        <v>0</v>
      </c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</row>
    <row r="190" spans="3:32" x14ac:dyDescent="0.25">
      <c r="C190" s="178" t="s">
        <v>198</v>
      </c>
      <c r="D190" s="160">
        <v>4894117</v>
      </c>
      <c r="E190" s="178" t="s">
        <v>171</v>
      </c>
      <c r="F190" s="159">
        <v>0</v>
      </c>
      <c r="G190" s="159">
        <v>1</v>
      </c>
      <c r="H190" s="178">
        <v>1</v>
      </c>
      <c r="I190" s="181"/>
      <c r="J190" s="181"/>
      <c r="K190" s="181"/>
      <c r="L190" s="181"/>
      <c r="M190" s="181"/>
      <c r="N190" s="181"/>
      <c r="O190" s="181">
        <v>1</v>
      </c>
      <c r="P190" s="181"/>
      <c r="Q190" s="181"/>
      <c r="R190" s="178"/>
      <c r="S190" s="181"/>
      <c r="T190" s="181"/>
      <c r="U190" s="181">
        <v>0</v>
      </c>
      <c r="W190" s="178"/>
      <c r="X190" s="181"/>
      <c r="Y190" s="181"/>
      <c r="Z190" s="181"/>
      <c r="AA190" s="178"/>
      <c r="AB190" s="178"/>
      <c r="AC190" s="181"/>
      <c r="AD190" s="181"/>
      <c r="AE190" s="181"/>
    </row>
    <row r="191" spans="3:32" x14ac:dyDescent="0.25">
      <c r="C191" s="153" t="s">
        <v>69</v>
      </c>
      <c r="D191" s="164">
        <v>2404653</v>
      </c>
      <c r="E191" s="159" t="s">
        <v>65</v>
      </c>
      <c r="F191" s="13">
        <v>1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spans="3:32" x14ac:dyDescent="0.25">
      <c r="C192" s="148" t="s">
        <v>175</v>
      </c>
      <c r="D192" s="149">
        <v>4646753</v>
      </c>
      <c r="E192" s="159" t="s">
        <v>171</v>
      </c>
      <c r="F192" s="159">
        <v>0</v>
      </c>
      <c r="G192" s="159">
        <v>1</v>
      </c>
      <c r="H192">
        <v>2</v>
      </c>
      <c r="I192">
        <v>2</v>
      </c>
      <c r="J192">
        <v>2</v>
      </c>
      <c r="K192">
        <v>2</v>
      </c>
      <c r="L192">
        <v>1</v>
      </c>
      <c r="O192">
        <v>2</v>
      </c>
      <c r="U192">
        <v>0</v>
      </c>
    </row>
    <row r="193" spans="3:32" x14ac:dyDescent="0.25">
      <c r="C193" s="153" t="s">
        <v>117</v>
      </c>
      <c r="D193" s="164">
        <v>1429898</v>
      </c>
      <c r="E193" s="159" t="s">
        <v>65</v>
      </c>
      <c r="F193" s="10">
        <v>0</v>
      </c>
      <c r="G193" s="10">
        <v>1</v>
      </c>
      <c r="H193" s="10">
        <v>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>
        <v>0</v>
      </c>
      <c r="V193" s="10"/>
      <c r="W193" s="10"/>
      <c r="X193" s="10"/>
      <c r="Y193" s="10"/>
      <c r="Z193" s="10"/>
      <c r="AA193" s="10"/>
      <c r="AB193" s="10"/>
      <c r="AC193" s="10"/>
      <c r="AD193" s="10"/>
      <c r="AE193" s="10">
        <v>2</v>
      </c>
    </row>
    <row r="194" spans="3:32" x14ac:dyDescent="0.25">
      <c r="C194" s="148" t="s">
        <v>182</v>
      </c>
      <c r="D194" s="149">
        <v>5059887</v>
      </c>
      <c r="E194" s="159" t="s">
        <v>171</v>
      </c>
      <c r="F194" s="159">
        <v>0</v>
      </c>
      <c r="G194" s="159">
        <v>1</v>
      </c>
      <c r="H194">
        <v>2</v>
      </c>
      <c r="K194">
        <v>2</v>
      </c>
      <c r="O194">
        <v>2</v>
      </c>
      <c r="U194">
        <v>0</v>
      </c>
    </row>
    <row r="195" spans="3:32" x14ac:dyDescent="0.25">
      <c r="C195" s="153" t="s">
        <v>83</v>
      </c>
      <c r="D195" s="167">
        <v>6648143</v>
      </c>
      <c r="E195" s="159" t="s">
        <v>65</v>
      </c>
      <c r="F195" s="10">
        <v>0</v>
      </c>
      <c r="G195" s="10">
        <v>1</v>
      </c>
      <c r="H195" s="10">
        <v>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0</v>
      </c>
      <c r="V195" s="10"/>
      <c r="W195" s="10"/>
      <c r="X195" s="10"/>
      <c r="Y195" s="10"/>
      <c r="Z195" s="10"/>
      <c r="AA195" s="10"/>
      <c r="AB195" s="10"/>
      <c r="AC195" s="10"/>
      <c r="AD195" s="10">
        <v>1</v>
      </c>
      <c r="AE195" s="10">
        <v>1</v>
      </c>
    </row>
    <row r="196" spans="3:32" x14ac:dyDescent="0.25">
      <c r="C196" s="187" t="s">
        <v>68</v>
      </c>
      <c r="D196" s="167">
        <v>1817419</v>
      </c>
      <c r="E196" s="159" t="s">
        <v>65</v>
      </c>
      <c r="F196" s="10">
        <v>0</v>
      </c>
      <c r="G196" s="10">
        <v>1</v>
      </c>
      <c r="H196" s="10">
        <v>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1</v>
      </c>
      <c r="V196" s="10"/>
      <c r="W196" s="10"/>
      <c r="X196" s="10">
        <v>1</v>
      </c>
      <c r="Y196" s="10"/>
      <c r="Z196" s="10"/>
      <c r="AA196" s="10"/>
      <c r="AB196" s="10"/>
      <c r="AC196" s="10"/>
      <c r="AD196" s="10"/>
      <c r="AE196" s="10"/>
    </row>
    <row r="197" spans="3:32" x14ac:dyDescent="0.25">
      <c r="C197" s="184" t="s">
        <v>57</v>
      </c>
      <c r="D197" s="167">
        <v>5576950</v>
      </c>
      <c r="E197" s="159" t="s">
        <v>32</v>
      </c>
      <c r="F197" s="10">
        <v>0</v>
      </c>
      <c r="G197" s="10">
        <v>1</v>
      </c>
      <c r="H197" s="10">
        <v>1</v>
      </c>
      <c r="I197" s="10"/>
      <c r="J197" s="10"/>
      <c r="K197" s="10">
        <v>1</v>
      </c>
      <c r="L197" s="10">
        <v>1</v>
      </c>
      <c r="M197" s="10"/>
      <c r="N197" s="10"/>
      <c r="O197" s="10"/>
      <c r="P197" s="10"/>
      <c r="Q197" s="10"/>
      <c r="R197" s="10"/>
      <c r="S197" s="10"/>
      <c r="T197" s="10"/>
      <c r="U197" s="10">
        <v>0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2</v>
      </c>
    </row>
    <row r="198" spans="3:32" x14ac:dyDescent="0.25">
      <c r="C198" s="148" t="s">
        <v>247</v>
      </c>
      <c r="D198" s="149">
        <v>6332571</v>
      </c>
      <c r="E198" s="159" t="s">
        <v>242</v>
      </c>
      <c r="F198" s="159">
        <v>0</v>
      </c>
      <c r="G198" s="159">
        <v>1</v>
      </c>
      <c r="H198">
        <v>2</v>
      </c>
      <c r="I198" s="17"/>
      <c r="K198">
        <v>2</v>
      </c>
      <c r="L198">
        <v>1</v>
      </c>
      <c r="O198">
        <v>2</v>
      </c>
      <c r="Q198">
        <v>1</v>
      </c>
      <c r="T198" t="s">
        <v>542</v>
      </c>
      <c r="U198">
        <v>0</v>
      </c>
    </row>
    <row r="199" spans="3:32" x14ac:dyDescent="0.25">
      <c r="C199" s="157" t="s">
        <v>290</v>
      </c>
      <c r="D199" s="158">
        <v>1228610</v>
      </c>
      <c r="E199" s="158" t="s">
        <v>242</v>
      </c>
      <c r="F199" s="159">
        <v>0</v>
      </c>
      <c r="G199" s="159">
        <v>1</v>
      </c>
      <c r="H199" s="151">
        <v>2</v>
      </c>
      <c r="K199">
        <v>2</v>
      </c>
      <c r="R199">
        <v>1</v>
      </c>
      <c r="T199" t="s">
        <v>558</v>
      </c>
      <c r="U199" s="151">
        <v>0</v>
      </c>
    </row>
    <row r="200" spans="3:32" x14ac:dyDescent="0.25">
      <c r="C200" s="193" t="s">
        <v>221</v>
      </c>
      <c r="D200" s="204">
        <v>865936</v>
      </c>
      <c r="E200" s="158" t="s">
        <v>171</v>
      </c>
      <c r="F200" s="159">
        <v>0</v>
      </c>
      <c r="G200" s="159">
        <v>1</v>
      </c>
      <c r="H200">
        <v>2</v>
      </c>
      <c r="K200">
        <v>2</v>
      </c>
      <c r="O200">
        <v>2</v>
      </c>
      <c r="P200">
        <v>1</v>
      </c>
      <c r="T200" t="s">
        <v>551</v>
      </c>
      <c r="U200">
        <v>0</v>
      </c>
    </row>
    <row r="201" spans="3:32" x14ac:dyDescent="0.25">
      <c r="C201" s="190" t="s">
        <v>84</v>
      </c>
      <c r="D201" s="20">
        <v>5191378</v>
      </c>
      <c r="E201" s="159" t="s">
        <v>65</v>
      </c>
      <c r="F201" s="13">
        <v>1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spans="3:32" x14ac:dyDescent="0.25">
      <c r="C202" s="225" t="s">
        <v>266</v>
      </c>
      <c r="D202" s="226">
        <v>3334743</v>
      </c>
      <c r="E202" s="169" t="s">
        <v>242</v>
      </c>
      <c r="F202" s="159">
        <v>0</v>
      </c>
      <c r="G202" s="169">
        <v>0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3:32" x14ac:dyDescent="0.25">
      <c r="C203" s="191" t="s">
        <v>259</v>
      </c>
      <c r="D203" s="199">
        <v>5532430</v>
      </c>
      <c r="E203" s="159" t="s">
        <v>242</v>
      </c>
      <c r="F203" s="159">
        <v>0</v>
      </c>
      <c r="G203" s="159">
        <v>1</v>
      </c>
      <c r="H203">
        <v>1</v>
      </c>
      <c r="I203" s="17"/>
      <c r="O203">
        <v>1</v>
      </c>
      <c r="U203">
        <v>1</v>
      </c>
      <c r="X203">
        <v>1</v>
      </c>
    </row>
    <row r="204" spans="3:32" x14ac:dyDescent="0.25">
      <c r="C204" s="193" t="s">
        <v>217</v>
      </c>
      <c r="D204" s="202">
        <v>4651408</v>
      </c>
      <c r="E204" s="158" t="s">
        <v>171</v>
      </c>
      <c r="F204" s="159">
        <v>0</v>
      </c>
      <c r="G204" s="159">
        <v>1</v>
      </c>
      <c r="H204">
        <v>0</v>
      </c>
      <c r="U204" s="151">
        <v>0</v>
      </c>
    </row>
    <row r="205" spans="3:32" x14ac:dyDescent="0.25">
      <c r="C205" s="191" t="s">
        <v>262</v>
      </c>
      <c r="D205" s="199">
        <v>6283137</v>
      </c>
      <c r="E205" s="159" t="s">
        <v>242</v>
      </c>
      <c r="F205" s="158">
        <v>1</v>
      </c>
      <c r="G205" s="159">
        <v>1</v>
      </c>
    </row>
    <row r="206" spans="3:32" ht="15.75" x14ac:dyDescent="0.25">
      <c r="C206" s="195" t="s">
        <v>267</v>
      </c>
      <c r="D206" s="204">
        <v>3318633</v>
      </c>
      <c r="E206" s="159" t="s">
        <v>242</v>
      </c>
      <c r="F206" s="159">
        <v>0</v>
      </c>
      <c r="G206" s="159">
        <v>1</v>
      </c>
      <c r="H206">
        <v>0</v>
      </c>
      <c r="U206">
        <v>0</v>
      </c>
    </row>
    <row r="207" spans="3:32" x14ac:dyDescent="0.25">
      <c r="C207" s="191" t="s">
        <v>257</v>
      </c>
      <c r="D207" s="199">
        <v>3693077</v>
      </c>
      <c r="E207" s="159" t="s">
        <v>242</v>
      </c>
      <c r="F207" s="159">
        <v>0</v>
      </c>
      <c r="G207" s="159">
        <v>1</v>
      </c>
      <c r="H207">
        <v>0</v>
      </c>
      <c r="U207">
        <v>0</v>
      </c>
    </row>
    <row r="208" spans="3:32" x14ac:dyDescent="0.25">
      <c r="C208" s="18" t="s">
        <v>150</v>
      </c>
      <c r="D208" s="19" t="s">
        <v>151</v>
      </c>
      <c r="E208" s="10" t="s">
        <v>148</v>
      </c>
      <c r="F208" s="10">
        <v>0</v>
      </c>
      <c r="G208" s="10">
        <v>1</v>
      </c>
      <c r="H208" s="10">
        <v>1</v>
      </c>
      <c r="I208" s="10"/>
      <c r="J208" s="10"/>
      <c r="K208" s="10"/>
      <c r="L208" s="10">
        <v>1</v>
      </c>
      <c r="M208" s="10">
        <v>1</v>
      </c>
      <c r="N208" s="10"/>
      <c r="O208" s="10">
        <v>1</v>
      </c>
      <c r="P208" s="10"/>
      <c r="Q208" s="10"/>
      <c r="R208" s="10"/>
      <c r="S208" s="10"/>
      <c r="T208" s="10" t="s">
        <v>549</v>
      </c>
      <c r="U208" s="10">
        <v>1</v>
      </c>
      <c r="V208" s="10">
        <v>0</v>
      </c>
      <c r="W208" s="10">
        <v>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/>
      <c r="AD208" s="10"/>
      <c r="AE208" s="10"/>
      <c r="AF208" s="10"/>
    </row>
    <row r="209" spans="3:21" x14ac:dyDescent="0.25">
      <c r="C209" s="193" t="s">
        <v>240</v>
      </c>
      <c r="D209" s="205">
        <v>626247</v>
      </c>
      <c r="E209" s="158" t="s">
        <v>171</v>
      </c>
      <c r="F209" s="159">
        <v>0</v>
      </c>
      <c r="G209" s="159">
        <v>1</v>
      </c>
      <c r="H209">
        <v>1</v>
      </c>
      <c r="K209">
        <v>1</v>
      </c>
      <c r="O209">
        <v>1</v>
      </c>
      <c r="U20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AD00-B23D-4BEC-BF4D-00616C748E4E}">
  <dimension ref="A1:AI211"/>
  <sheetViews>
    <sheetView tabSelected="1" zoomScaleNormal="100" workbookViewId="0">
      <pane ySplit="1" topLeftCell="A202" activePane="bottomLeft" state="frozen"/>
      <selection pane="bottomLeft" activeCell="G216" sqref="G216"/>
    </sheetView>
  </sheetViews>
  <sheetFormatPr defaultRowHeight="15" x14ac:dyDescent="0.25"/>
  <cols>
    <col min="1" max="2" width="9.140625" style="105"/>
    <col min="3" max="3" width="26.140625" style="105" bestFit="1" customWidth="1"/>
    <col min="4" max="7" width="15.140625" style="105" customWidth="1"/>
    <col min="8" max="8" width="9.140625" style="105"/>
    <col min="9" max="9" width="19" style="105" bestFit="1" customWidth="1"/>
    <col min="10" max="10" width="27.28515625" style="105" bestFit="1" customWidth="1"/>
    <col min="11" max="11" width="10.28515625" style="105" bestFit="1" customWidth="1"/>
    <col min="12" max="12" width="9.140625" style="105"/>
    <col min="13" max="13" width="10.28515625" style="105" bestFit="1" customWidth="1"/>
    <col min="14" max="14" width="19.7109375" style="105" bestFit="1" customWidth="1"/>
    <col min="15" max="15" width="22" style="105" bestFit="1" customWidth="1"/>
    <col min="16" max="16" width="19.140625" style="105" bestFit="1" customWidth="1"/>
    <col min="17" max="17" width="9.140625" style="105"/>
    <col min="18" max="18" width="17.42578125" style="105" bestFit="1" customWidth="1"/>
    <col min="19" max="22" width="9.140625" style="105"/>
    <col min="23" max="23" width="127.5703125" style="105" bestFit="1" customWidth="1"/>
    <col min="24" max="16384" width="9.140625" style="105"/>
  </cols>
  <sheetData>
    <row r="1" spans="1:35" ht="15.75" thickBot="1" x14ac:dyDescent="0.3">
      <c r="A1" s="288" t="s">
        <v>516</v>
      </c>
      <c r="B1" s="288" t="s">
        <v>515</v>
      </c>
      <c r="C1" s="127" t="s">
        <v>0</v>
      </c>
      <c r="D1" s="128" t="s">
        <v>1</v>
      </c>
      <c r="E1" s="127" t="s">
        <v>2</v>
      </c>
      <c r="F1" s="127" t="s">
        <v>3</v>
      </c>
      <c r="G1" s="128" t="s">
        <v>4</v>
      </c>
      <c r="H1" s="289" t="s">
        <v>5</v>
      </c>
      <c r="I1" s="289" t="s">
        <v>6</v>
      </c>
      <c r="J1" s="289" t="s">
        <v>7</v>
      </c>
      <c r="K1" s="132" t="s">
        <v>8</v>
      </c>
      <c r="L1" s="132" t="s">
        <v>9</v>
      </c>
      <c r="M1" s="132" t="s">
        <v>10</v>
      </c>
      <c r="N1" s="132" t="s">
        <v>11</v>
      </c>
      <c r="O1" s="132" t="s">
        <v>12</v>
      </c>
      <c r="P1" s="132" t="s">
        <v>13</v>
      </c>
      <c r="Q1" s="132" t="s">
        <v>14</v>
      </c>
      <c r="R1" s="132" t="s">
        <v>15</v>
      </c>
      <c r="S1" s="132" t="s">
        <v>16</v>
      </c>
      <c r="T1" s="132" t="s">
        <v>17</v>
      </c>
      <c r="U1" s="132" t="s">
        <v>18</v>
      </c>
      <c r="V1" s="132" t="s">
        <v>19</v>
      </c>
      <c r="W1" s="132" t="s">
        <v>20</v>
      </c>
      <c r="X1" s="133" t="s">
        <v>21</v>
      </c>
      <c r="Y1" s="133" t="s">
        <v>22</v>
      </c>
      <c r="Z1" s="133" t="s">
        <v>23</v>
      </c>
      <c r="AA1" s="133" t="s">
        <v>24</v>
      </c>
      <c r="AB1" s="133" t="s">
        <v>25</v>
      </c>
      <c r="AC1" s="133" t="s">
        <v>26</v>
      </c>
      <c r="AD1" s="133" t="s">
        <v>27</v>
      </c>
      <c r="AE1" s="133" t="s">
        <v>28</v>
      </c>
      <c r="AF1" s="133" t="s">
        <v>20</v>
      </c>
      <c r="AG1" s="134" t="s">
        <v>29</v>
      </c>
      <c r="AH1" s="134" t="s">
        <v>30</v>
      </c>
      <c r="AI1" s="288"/>
    </row>
    <row r="2" spans="1:35" s="295" customFormat="1" x14ac:dyDescent="0.25">
      <c r="C2" s="272" t="s">
        <v>115</v>
      </c>
      <c r="D2" s="272">
        <v>6344639</v>
      </c>
      <c r="E2" s="273">
        <v>44655</v>
      </c>
      <c r="F2" s="296">
        <v>45405</v>
      </c>
      <c r="G2" s="297">
        <f t="shared" ref="G2:G18" si="0">F2-E2</f>
        <v>750</v>
      </c>
      <c r="H2" s="9" t="s">
        <v>242</v>
      </c>
      <c r="I2" s="310">
        <v>0</v>
      </c>
      <c r="J2" s="310">
        <v>1</v>
      </c>
      <c r="K2" s="310">
        <v>0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X2" s="310">
        <v>0</v>
      </c>
      <c r="Y2" s="310"/>
      <c r="Z2" s="310"/>
      <c r="AA2" s="310"/>
      <c r="AB2" s="310"/>
      <c r="AC2" s="310"/>
      <c r="AD2" s="310"/>
      <c r="AE2" s="310"/>
      <c r="AF2" s="310"/>
      <c r="AG2" s="310"/>
      <c r="AH2" s="310">
        <v>2</v>
      </c>
    </row>
    <row r="3" spans="1:35" s="295" customFormat="1" x14ac:dyDescent="0.25">
      <c r="C3" s="274" t="s">
        <v>202</v>
      </c>
      <c r="D3" s="22">
        <v>2192350</v>
      </c>
      <c r="E3" s="273">
        <v>44340</v>
      </c>
      <c r="F3" s="273">
        <v>45266</v>
      </c>
      <c r="G3" s="23">
        <f t="shared" si="0"/>
        <v>926</v>
      </c>
      <c r="H3" s="23" t="s">
        <v>171</v>
      </c>
      <c r="I3" s="311">
        <v>0</v>
      </c>
      <c r="J3" s="311">
        <v>1</v>
      </c>
      <c r="K3" s="68">
        <v>2</v>
      </c>
      <c r="L3" s="68"/>
      <c r="M3" s="68"/>
      <c r="N3" s="68">
        <v>2</v>
      </c>
      <c r="O3" s="68">
        <v>2</v>
      </c>
      <c r="P3" s="68"/>
      <c r="Q3" s="68"/>
      <c r="R3" s="68">
        <v>2</v>
      </c>
      <c r="S3" s="68"/>
      <c r="T3" s="68"/>
      <c r="U3" s="68"/>
      <c r="V3" s="68"/>
      <c r="W3" s="23" t="s">
        <v>203</v>
      </c>
      <c r="X3" s="68">
        <v>3</v>
      </c>
      <c r="Y3" s="68"/>
      <c r="Z3" s="68"/>
      <c r="AA3" s="68"/>
      <c r="AB3" s="68"/>
      <c r="AC3" s="68">
        <v>1</v>
      </c>
      <c r="AD3" s="68">
        <v>1</v>
      </c>
      <c r="AE3" s="68">
        <v>1</v>
      </c>
      <c r="AF3" s="68"/>
      <c r="AG3" s="68"/>
      <c r="AH3" s="68"/>
    </row>
    <row r="4" spans="1:35" s="295" customFormat="1" x14ac:dyDescent="0.25">
      <c r="C4" s="272" t="s">
        <v>104</v>
      </c>
      <c r="D4" s="272">
        <v>2293334</v>
      </c>
      <c r="E4" s="273">
        <v>44615</v>
      </c>
      <c r="F4" s="296">
        <v>45224</v>
      </c>
      <c r="G4" s="297">
        <f t="shared" si="0"/>
        <v>609</v>
      </c>
      <c r="H4" s="9" t="s">
        <v>242</v>
      </c>
      <c r="I4" s="310">
        <v>1</v>
      </c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</row>
    <row r="5" spans="1:35" s="295" customFormat="1" x14ac:dyDescent="0.25">
      <c r="C5" s="275" t="s">
        <v>223</v>
      </c>
      <c r="D5" s="48">
        <v>3925175</v>
      </c>
      <c r="E5" s="273">
        <v>44392</v>
      </c>
      <c r="F5" s="273">
        <v>45133</v>
      </c>
      <c r="G5" s="23">
        <f t="shared" si="0"/>
        <v>741</v>
      </c>
      <c r="H5" s="16" t="s">
        <v>171</v>
      </c>
      <c r="I5" s="311">
        <v>0</v>
      </c>
      <c r="J5" s="311">
        <v>1</v>
      </c>
      <c r="K5" s="79">
        <v>1</v>
      </c>
      <c r="L5" s="79"/>
      <c r="M5" s="79"/>
      <c r="N5" s="79">
        <v>1</v>
      </c>
      <c r="O5" s="79"/>
      <c r="P5" s="79"/>
      <c r="Q5" s="79"/>
      <c r="R5" s="79"/>
      <c r="S5" s="79"/>
      <c r="T5" s="79"/>
      <c r="U5" s="79"/>
      <c r="V5" s="79"/>
      <c r="W5" s="272"/>
      <c r="X5" s="79">
        <v>0</v>
      </c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35" s="295" customFormat="1" x14ac:dyDescent="0.25">
      <c r="C6" s="276" t="s">
        <v>184</v>
      </c>
      <c r="D6" s="22">
        <v>1081580</v>
      </c>
      <c r="E6" s="273">
        <v>44180</v>
      </c>
      <c r="F6" s="273">
        <v>45098</v>
      </c>
      <c r="G6" s="23">
        <f t="shared" si="0"/>
        <v>918</v>
      </c>
      <c r="H6" s="9" t="s">
        <v>171</v>
      </c>
      <c r="I6" s="311">
        <v>0</v>
      </c>
      <c r="J6" s="311">
        <v>1</v>
      </c>
      <c r="K6" s="310">
        <v>0</v>
      </c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X6" s="310">
        <v>0</v>
      </c>
      <c r="Y6" s="310"/>
      <c r="Z6" s="310"/>
      <c r="AA6" s="310"/>
      <c r="AB6" s="310"/>
      <c r="AC6" s="310"/>
      <c r="AD6" s="310"/>
      <c r="AE6" s="310"/>
      <c r="AF6" s="310"/>
      <c r="AG6" s="310"/>
      <c r="AH6" s="310"/>
    </row>
    <row r="7" spans="1:35" s="295" customFormat="1" x14ac:dyDescent="0.25">
      <c r="C7" s="277" t="s">
        <v>218</v>
      </c>
      <c r="D7" s="51">
        <v>5901224</v>
      </c>
      <c r="E7" s="273">
        <v>44375</v>
      </c>
      <c r="F7" s="273">
        <v>45192</v>
      </c>
      <c r="G7" s="23">
        <f t="shared" si="0"/>
        <v>817</v>
      </c>
      <c r="H7" s="16" t="s">
        <v>171</v>
      </c>
      <c r="I7" s="311">
        <v>0</v>
      </c>
      <c r="J7" s="311">
        <v>1</v>
      </c>
      <c r="K7" s="79">
        <v>2</v>
      </c>
      <c r="L7" s="79"/>
      <c r="M7" s="79"/>
      <c r="N7" s="79">
        <v>2</v>
      </c>
      <c r="O7" s="79">
        <v>1</v>
      </c>
      <c r="P7" s="79"/>
      <c r="Q7" s="79"/>
      <c r="R7" s="79">
        <v>1</v>
      </c>
      <c r="S7" s="79"/>
      <c r="T7" s="79"/>
      <c r="U7" s="79"/>
      <c r="V7" s="79"/>
      <c r="W7" s="272"/>
      <c r="X7" s="79">
        <v>0</v>
      </c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pans="1:35" s="295" customFormat="1" x14ac:dyDescent="0.25">
      <c r="C8" s="272" t="s">
        <v>137</v>
      </c>
      <c r="D8" s="272">
        <v>6661252</v>
      </c>
      <c r="E8" s="273">
        <v>44734</v>
      </c>
      <c r="F8" s="296">
        <v>45497</v>
      </c>
      <c r="G8" s="297">
        <f t="shared" si="0"/>
        <v>763</v>
      </c>
      <c r="H8" s="9" t="s">
        <v>242</v>
      </c>
      <c r="I8" s="310">
        <v>0</v>
      </c>
      <c r="J8" s="310">
        <v>1</v>
      </c>
      <c r="K8" s="310">
        <v>0</v>
      </c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X8" s="310">
        <v>0</v>
      </c>
      <c r="Y8" s="310"/>
      <c r="Z8" s="310"/>
      <c r="AA8" s="310"/>
      <c r="AB8" s="310"/>
      <c r="AC8" s="310"/>
      <c r="AD8" s="310"/>
      <c r="AE8" s="310"/>
      <c r="AF8" s="310"/>
      <c r="AG8" s="310"/>
      <c r="AH8" s="310">
        <v>2</v>
      </c>
    </row>
    <row r="9" spans="1:35" s="295" customFormat="1" x14ac:dyDescent="0.25">
      <c r="C9" s="50" t="s">
        <v>75</v>
      </c>
      <c r="D9" s="16">
        <v>4028469</v>
      </c>
      <c r="E9" s="273">
        <v>44539</v>
      </c>
      <c r="F9" s="296">
        <v>45485</v>
      </c>
      <c r="G9" s="297">
        <f t="shared" si="0"/>
        <v>946</v>
      </c>
      <c r="H9" s="9" t="s">
        <v>242</v>
      </c>
      <c r="I9" s="310">
        <v>0</v>
      </c>
      <c r="J9" s="310">
        <v>1</v>
      </c>
      <c r="K9" s="310">
        <v>1</v>
      </c>
      <c r="L9" s="310"/>
      <c r="M9" s="310"/>
      <c r="N9" s="310"/>
      <c r="O9" s="310"/>
      <c r="P9" s="310"/>
      <c r="Q9" s="310"/>
      <c r="R9" s="310">
        <v>2</v>
      </c>
      <c r="S9" s="310"/>
      <c r="T9" s="310">
        <v>1</v>
      </c>
      <c r="U9" s="310"/>
      <c r="V9" s="310"/>
      <c r="X9" s="310">
        <v>0</v>
      </c>
      <c r="Y9" s="310"/>
      <c r="Z9" s="310"/>
      <c r="AA9" s="310"/>
      <c r="AB9" s="310"/>
      <c r="AC9" s="310"/>
      <c r="AD9" s="310"/>
      <c r="AE9" s="310"/>
      <c r="AF9" s="310"/>
      <c r="AG9" s="310"/>
      <c r="AH9" s="310">
        <v>2</v>
      </c>
    </row>
    <row r="10" spans="1:35" s="295" customFormat="1" x14ac:dyDescent="0.25">
      <c r="C10" s="39" t="s">
        <v>199</v>
      </c>
      <c r="D10" s="46">
        <v>4333565</v>
      </c>
      <c r="E10" s="273">
        <v>44308</v>
      </c>
      <c r="F10" s="273">
        <v>45212</v>
      </c>
      <c r="G10" s="23">
        <f t="shared" si="0"/>
        <v>904</v>
      </c>
      <c r="H10" s="298" t="s">
        <v>171</v>
      </c>
      <c r="I10" s="311">
        <v>0</v>
      </c>
      <c r="J10" s="311">
        <v>1</v>
      </c>
      <c r="K10" s="310">
        <v>2</v>
      </c>
      <c r="L10" s="310"/>
      <c r="M10" s="310"/>
      <c r="N10" s="310">
        <v>2</v>
      </c>
      <c r="O10" s="310"/>
      <c r="P10" s="310"/>
      <c r="Q10" s="310"/>
      <c r="R10" s="310">
        <v>2</v>
      </c>
      <c r="S10" s="310"/>
      <c r="T10" s="310"/>
      <c r="U10" s="310"/>
      <c r="V10" s="310"/>
      <c r="W10" s="295" t="s">
        <v>200</v>
      </c>
      <c r="X10" s="310">
        <v>2</v>
      </c>
      <c r="Y10" s="310"/>
      <c r="Z10" s="310"/>
      <c r="AA10" s="310"/>
      <c r="AB10" s="310"/>
      <c r="AC10" s="310">
        <v>2</v>
      </c>
      <c r="AD10" s="310">
        <v>2</v>
      </c>
      <c r="AE10" s="310">
        <v>1</v>
      </c>
      <c r="AF10" s="310" t="s">
        <v>201</v>
      </c>
      <c r="AG10" s="310"/>
      <c r="AH10" s="310"/>
    </row>
    <row r="11" spans="1:35" s="295" customFormat="1" x14ac:dyDescent="0.25">
      <c r="C11" s="272" t="s">
        <v>86</v>
      </c>
      <c r="D11" s="272">
        <v>2742922</v>
      </c>
      <c r="E11" s="273">
        <v>44550</v>
      </c>
      <c r="F11" s="296">
        <v>45496</v>
      </c>
      <c r="G11" s="297">
        <f t="shared" si="0"/>
        <v>946</v>
      </c>
      <c r="H11" s="9" t="s">
        <v>242</v>
      </c>
      <c r="I11" s="310">
        <v>0</v>
      </c>
      <c r="J11" s="310">
        <v>1</v>
      </c>
      <c r="K11" s="310">
        <v>1</v>
      </c>
      <c r="L11" s="310"/>
      <c r="M11" s="310"/>
      <c r="N11" s="310"/>
      <c r="O11" s="310"/>
      <c r="P11" s="310"/>
      <c r="Q11" s="310"/>
      <c r="R11" s="310"/>
      <c r="S11" s="310">
        <v>1</v>
      </c>
      <c r="T11" s="310"/>
      <c r="U11" s="310"/>
      <c r="V11" s="310"/>
      <c r="X11" s="310">
        <v>0</v>
      </c>
      <c r="Y11" s="310"/>
      <c r="Z11" s="310"/>
      <c r="AA11" s="310"/>
      <c r="AB11" s="310"/>
      <c r="AC11" s="310"/>
      <c r="AD11" s="310"/>
      <c r="AE11" s="310"/>
      <c r="AF11" s="310"/>
      <c r="AG11" s="310"/>
      <c r="AH11" s="310">
        <v>2</v>
      </c>
    </row>
    <row r="12" spans="1:35" s="295" customFormat="1" x14ac:dyDescent="0.25">
      <c r="C12" s="272" t="s">
        <v>120</v>
      </c>
      <c r="D12" s="272">
        <v>6673787</v>
      </c>
      <c r="E12" s="273">
        <v>44712</v>
      </c>
      <c r="F12" s="296">
        <v>45323</v>
      </c>
      <c r="G12" s="297">
        <f t="shared" si="0"/>
        <v>611</v>
      </c>
      <c r="H12" s="9" t="s">
        <v>242</v>
      </c>
      <c r="I12" s="310">
        <v>1</v>
      </c>
      <c r="J12" s="310">
        <v>1</v>
      </c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</row>
    <row r="13" spans="1:35" s="295" customFormat="1" x14ac:dyDescent="0.25">
      <c r="C13" s="272" t="s">
        <v>127</v>
      </c>
      <c r="D13" s="16">
        <v>4196956</v>
      </c>
      <c r="E13" s="273">
        <v>44697</v>
      </c>
      <c r="F13" s="296">
        <v>45455</v>
      </c>
      <c r="G13" s="297">
        <f t="shared" si="0"/>
        <v>758</v>
      </c>
      <c r="H13" s="9" t="s">
        <v>242</v>
      </c>
      <c r="I13" s="310">
        <v>0</v>
      </c>
      <c r="J13" s="310">
        <v>1</v>
      </c>
      <c r="K13" s="310">
        <v>0</v>
      </c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X13" s="310">
        <v>1</v>
      </c>
      <c r="Y13" s="310"/>
      <c r="Z13" s="310"/>
      <c r="AA13" s="310"/>
      <c r="AB13" s="310"/>
      <c r="AC13" s="310"/>
      <c r="AD13" s="310"/>
      <c r="AE13" s="310">
        <v>1</v>
      </c>
      <c r="AF13" s="310"/>
      <c r="AG13" s="310"/>
      <c r="AH13" s="310">
        <v>1</v>
      </c>
    </row>
    <row r="14" spans="1:35" s="295" customFormat="1" x14ac:dyDescent="0.25">
      <c r="C14" s="50" t="s">
        <v>56</v>
      </c>
      <c r="D14" s="16">
        <v>6515626</v>
      </c>
      <c r="E14" s="273">
        <v>44580</v>
      </c>
      <c r="F14" s="296">
        <v>45328</v>
      </c>
      <c r="G14" s="297">
        <f t="shared" si="0"/>
        <v>748</v>
      </c>
      <c r="H14" s="9" t="s">
        <v>171</v>
      </c>
      <c r="I14" s="310">
        <v>0</v>
      </c>
      <c r="J14" s="310">
        <v>1</v>
      </c>
      <c r="K14" s="310">
        <v>0</v>
      </c>
      <c r="L14" s="310"/>
      <c r="M14" s="310"/>
      <c r="N14" s="310"/>
      <c r="O14" s="310"/>
      <c r="P14" s="310"/>
      <c r="Q14" s="310"/>
      <c r="R14" s="310"/>
      <c r="S14" s="310"/>
      <c r="T14" s="310">
        <v>1</v>
      </c>
      <c r="U14" s="310"/>
      <c r="V14" s="310"/>
      <c r="X14" s="310">
        <v>0</v>
      </c>
      <c r="Y14" s="310"/>
      <c r="Z14" s="310"/>
      <c r="AA14" s="310"/>
      <c r="AB14" s="310"/>
      <c r="AC14" s="310"/>
      <c r="AD14" s="310"/>
      <c r="AE14" s="310"/>
      <c r="AF14" s="310"/>
      <c r="AG14" s="310"/>
      <c r="AH14" s="310"/>
    </row>
    <row r="15" spans="1:35" s="295" customFormat="1" x14ac:dyDescent="0.25">
      <c r="C15" s="277" t="s">
        <v>227</v>
      </c>
      <c r="D15" s="51">
        <v>4839122</v>
      </c>
      <c r="E15" s="273">
        <v>44473</v>
      </c>
      <c r="F15" s="273">
        <v>45230</v>
      </c>
      <c r="G15" s="23">
        <f t="shared" si="0"/>
        <v>757</v>
      </c>
      <c r="H15" s="16" t="s">
        <v>171</v>
      </c>
      <c r="I15" s="311">
        <v>0</v>
      </c>
      <c r="J15" s="311">
        <v>1</v>
      </c>
      <c r="K15" s="79">
        <v>1</v>
      </c>
      <c r="L15" s="79"/>
      <c r="M15" s="79"/>
      <c r="N15" s="79"/>
      <c r="O15" s="79"/>
      <c r="P15" s="79"/>
      <c r="Q15" s="79"/>
      <c r="R15" s="79">
        <v>1</v>
      </c>
      <c r="S15" s="79">
        <v>1</v>
      </c>
      <c r="T15" s="79"/>
      <c r="U15" s="79"/>
      <c r="V15" s="79"/>
      <c r="W15" s="272"/>
      <c r="X15" s="79">
        <v>0</v>
      </c>
      <c r="Y15" s="310"/>
      <c r="Z15" s="79"/>
      <c r="AA15" s="79"/>
      <c r="AB15" s="79"/>
      <c r="AC15" s="79"/>
      <c r="AD15" s="79"/>
      <c r="AE15" s="79"/>
      <c r="AF15" s="79"/>
      <c r="AG15" s="79"/>
      <c r="AH15" s="79"/>
    </row>
    <row r="16" spans="1:35" s="295" customFormat="1" x14ac:dyDescent="0.25">
      <c r="C16" s="272" t="s">
        <v>59</v>
      </c>
      <c r="D16" s="272">
        <v>4223888</v>
      </c>
      <c r="E16" s="273">
        <v>44573</v>
      </c>
      <c r="F16" s="296">
        <v>44671</v>
      </c>
      <c r="G16" s="297">
        <f t="shared" si="0"/>
        <v>98</v>
      </c>
      <c r="H16" s="9" t="s">
        <v>242</v>
      </c>
      <c r="I16" s="310">
        <v>1</v>
      </c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X16" s="310"/>
      <c r="Y16" s="310"/>
      <c r="Z16" s="310"/>
      <c r="AA16" s="310"/>
      <c r="AB16" s="310"/>
      <c r="AC16" s="310"/>
      <c r="AD16" s="310"/>
      <c r="AE16" s="310"/>
      <c r="AF16" s="310"/>
      <c r="AG16" s="310"/>
      <c r="AH16" s="310"/>
    </row>
    <row r="17" spans="3:34" s="295" customFormat="1" x14ac:dyDescent="0.25">
      <c r="C17" s="272" t="s">
        <v>211</v>
      </c>
      <c r="D17" s="48">
        <v>6349772</v>
      </c>
      <c r="E17" s="273">
        <v>44383</v>
      </c>
      <c r="F17" s="273">
        <v>45125</v>
      </c>
      <c r="G17" s="23">
        <f t="shared" si="0"/>
        <v>742</v>
      </c>
      <c r="H17" s="16" t="s">
        <v>171</v>
      </c>
      <c r="I17" s="311">
        <v>0</v>
      </c>
      <c r="J17" s="311">
        <v>1</v>
      </c>
      <c r="K17" s="79">
        <v>2</v>
      </c>
      <c r="L17" s="79"/>
      <c r="M17" s="79"/>
      <c r="N17" s="79">
        <v>2</v>
      </c>
      <c r="O17" s="79"/>
      <c r="P17" s="79">
        <v>2</v>
      </c>
      <c r="Q17" s="79"/>
      <c r="R17" s="79"/>
      <c r="S17" s="79"/>
      <c r="T17" s="79">
        <v>1</v>
      </c>
      <c r="U17" s="79"/>
      <c r="V17" s="79"/>
      <c r="W17" s="272" t="s">
        <v>212</v>
      </c>
      <c r="X17" s="79">
        <v>0</v>
      </c>
      <c r="Y17" s="79"/>
      <c r="Z17" s="79"/>
      <c r="AA17" s="79"/>
      <c r="AB17" s="79"/>
      <c r="AC17" s="79"/>
      <c r="AD17" s="79"/>
      <c r="AE17" s="79"/>
      <c r="AF17" s="79"/>
      <c r="AG17" s="79"/>
      <c r="AH17" s="79"/>
    </row>
    <row r="18" spans="3:34" s="295" customFormat="1" x14ac:dyDescent="0.25">
      <c r="C18" s="272" t="s">
        <v>88</v>
      </c>
      <c r="D18" s="272">
        <v>2008227</v>
      </c>
      <c r="E18" s="273">
        <v>44592</v>
      </c>
      <c r="F18" s="296">
        <v>45335</v>
      </c>
      <c r="G18" s="297">
        <f t="shared" si="0"/>
        <v>743</v>
      </c>
      <c r="H18" s="9" t="s">
        <v>242</v>
      </c>
      <c r="I18" s="310">
        <v>0</v>
      </c>
      <c r="J18" s="310">
        <v>1</v>
      </c>
      <c r="K18" s="310">
        <v>0</v>
      </c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X18" s="310">
        <v>0</v>
      </c>
      <c r="Y18" s="310"/>
      <c r="Z18" s="310"/>
      <c r="AA18" s="310"/>
      <c r="AB18" s="310"/>
      <c r="AC18" s="310"/>
      <c r="AD18" s="310"/>
      <c r="AE18" s="310"/>
      <c r="AF18" s="310"/>
      <c r="AG18" s="310"/>
      <c r="AH18" s="310"/>
    </row>
    <row r="19" spans="3:34" s="295" customFormat="1" x14ac:dyDescent="0.25">
      <c r="C19" s="299" t="s">
        <v>153</v>
      </c>
      <c r="D19" s="295">
        <v>3695498</v>
      </c>
      <c r="E19" s="300">
        <v>44413</v>
      </c>
      <c r="F19" s="300">
        <v>45357</v>
      </c>
      <c r="G19" s="301">
        <f>(F19-E19)</f>
        <v>944</v>
      </c>
      <c r="H19" s="295" t="s">
        <v>242</v>
      </c>
      <c r="I19" s="310">
        <v>0</v>
      </c>
      <c r="J19" s="310">
        <v>1</v>
      </c>
      <c r="K19" s="310">
        <v>0</v>
      </c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X19" s="310">
        <v>0</v>
      </c>
      <c r="Y19" s="310"/>
      <c r="Z19" s="310"/>
      <c r="AA19" s="310"/>
      <c r="AB19" s="310"/>
      <c r="AC19" s="310"/>
      <c r="AD19" s="310"/>
      <c r="AE19" s="310"/>
      <c r="AF19" s="310"/>
      <c r="AG19" s="310"/>
      <c r="AH19" s="310"/>
    </row>
    <row r="20" spans="3:34" s="295" customFormat="1" x14ac:dyDescent="0.25">
      <c r="C20" s="302" t="s">
        <v>195</v>
      </c>
      <c r="D20" s="298">
        <v>762097</v>
      </c>
      <c r="E20" s="273">
        <v>44306</v>
      </c>
      <c r="F20" s="273">
        <v>45247</v>
      </c>
      <c r="G20" s="23">
        <f t="shared" ref="G20:G27" si="1">F20-E20</f>
        <v>941</v>
      </c>
      <c r="H20" s="9" t="s">
        <v>171</v>
      </c>
      <c r="I20" s="311">
        <v>0</v>
      </c>
      <c r="J20" s="311">
        <v>1</v>
      </c>
      <c r="K20" s="310">
        <v>0</v>
      </c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X20" s="310">
        <v>0</v>
      </c>
      <c r="Y20" s="310"/>
      <c r="Z20" s="310"/>
      <c r="AA20" s="310"/>
      <c r="AB20" s="310"/>
      <c r="AC20" s="310"/>
      <c r="AD20" s="310"/>
      <c r="AE20" s="310"/>
      <c r="AF20" s="310"/>
      <c r="AG20" s="310"/>
      <c r="AH20" s="310"/>
    </row>
    <row r="21" spans="3:34" s="295" customFormat="1" x14ac:dyDescent="0.25">
      <c r="C21" s="278" t="s">
        <v>264</v>
      </c>
      <c r="D21" s="22">
        <v>1764235</v>
      </c>
      <c r="E21" s="279">
        <v>44265</v>
      </c>
      <c r="F21" s="279">
        <v>45198</v>
      </c>
      <c r="G21" s="23">
        <f t="shared" si="1"/>
        <v>933</v>
      </c>
      <c r="H21" s="9" t="s">
        <v>242</v>
      </c>
      <c r="I21" s="311">
        <v>0</v>
      </c>
      <c r="J21" s="311">
        <v>1</v>
      </c>
      <c r="K21" s="310">
        <v>0</v>
      </c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X21" s="310">
        <v>0</v>
      </c>
      <c r="Y21" s="310"/>
      <c r="Z21" s="310"/>
      <c r="AA21" s="310"/>
      <c r="AB21" s="310"/>
      <c r="AC21" s="310"/>
      <c r="AD21" s="310"/>
      <c r="AE21" s="310"/>
      <c r="AF21" s="310"/>
      <c r="AG21" s="310"/>
      <c r="AH21" s="310"/>
    </row>
    <row r="22" spans="3:34" s="295" customFormat="1" x14ac:dyDescent="0.25">
      <c r="C22" s="272" t="s">
        <v>103</v>
      </c>
      <c r="D22" s="272">
        <v>6594458</v>
      </c>
      <c r="E22" s="273">
        <v>44652</v>
      </c>
      <c r="F22" s="296">
        <v>45090</v>
      </c>
      <c r="G22" s="297">
        <f t="shared" si="1"/>
        <v>438</v>
      </c>
      <c r="H22" s="9" t="s">
        <v>242</v>
      </c>
      <c r="I22" s="310">
        <v>1</v>
      </c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X22" s="310"/>
      <c r="Y22" s="310"/>
      <c r="Z22" s="310"/>
      <c r="AA22" s="310"/>
      <c r="AB22" s="310"/>
      <c r="AC22" s="310"/>
      <c r="AD22" s="310"/>
      <c r="AE22" s="310"/>
      <c r="AF22" s="310"/>
      <c r="AG22" s="310"/>
      <c r="AH22" s="310"/>
    </row>
    <row r="23" spans="3:34" s="295" customFormat="1" x14ac:dyDescent="0.25">
      <c r="C23" s="276" t="s">
        <v>224</v>
      </c>
      <c r="D23" s="22">
        <v>1658581</v>
      </c>
      <c r="E23" s="273">
        <v>44454</v>
      </c>
      <c r="F23" s="273">
        <v>45182</v>
      </c>
      <c r="G23" s="23">
        <f t="shared" si="1"/>
        <v>728</v>
      </c>
      <c r="H23" s="9" t="s">
        <v>171</v>
      </c>
      <c r="I23" s="311">
        <v>0</v>
      </c>
      <c r="J23" s="311">
        <v>1</v>
      </c>
      <c r="K23" s="78">
        <v>2</v>
      </c>
      <c r="L23" s="78"/>
      <c r="M23" s="78"/>
      <c r="N23" s="78">
        <v>2</v>
      </c>
      <c r="O23" s="78"/>
      <c r="P23" s="78"/>
      <c r="Q23" s="78"/>
      <c r="R23" s="78">
        <v>2</v>
      </c>
      <c r="S23" s="78"/>
      <c r="T23" s="78"/>
      <c r="U23" s="78"/>
      <c r="V23" s="78"/>
      <c r="W23" s="216" t="s">
        <v>225</v>
      </c>
      <c r="X23" s="78">
        <v>0</v>
      </c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spans="3:34" s="295" customFormat="1" x14ac:dyDescent="0.25">
      <c r="C24" s="302" t="s">
        <v>192</v>
      </c>
      <c r="D24" s="57">
        <v>5425370</v>
      </c>
      <c r="E24" s="273">
        <v>44278</v>
      </c>
      <c r="F24" s="273">
        <v>45069</v>
      </c>
      <c r="G24" s="23">
        <f t="shared" si="1"/>
        <v>791</v>
      </c>
      <c r="H24" s="298" t="s">
        <v>171</v>
      </c>
      <c r="I24" s="311">
        <v>0</v>
      </c>
      <c r="J24" s="311">
        <v>1</v>
      </c>
      <c r="K24" s="310">
        <v>2</v>
      </c>
      <c r="L24" s="310"/>
      <c r="M24" s="310"/>
      <c r="N24" s="310"/>
      <c r="O24" s="310"/>
      <c r="P24" s="310">
        <v>2</v>
      </c>
      <c r="Q24" s="310"/>
      <c r="R24" s="310">
        <v>2</v>
      </c>
      <c r="S24" s="310"/>
      <c r="T24" s="310"/>
      <c r="U24" s="310"/>
      <c r="V24" s="310"/>
      <c r="W24" s="295" t="s">
        <v>193</v>
      </c>
      <c r="X24" s="310">
        <v>0</v>
      </c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</row>
    <row r="25" spans="3:34" s="295" customFormat="1" x14ac:dyDescent="0.25">
      <c r="C25" s="276" t="s">
        <v>252</v>
      </c>
      <c r="D25" s="22">
        <v>1743204</v>
      </c>
      <c r="E25" s="279">
        <v>44182</v>
      </c>
      <c r="F25" s="279">
        <v>45271</v>
      </c>
      <c r="G25" s="23">
        <f t="shared" si="1"/>
        <v>1089</v>
      </c>
      <c r="H25" s="9" t="s">
        <v>242</v>
      </c>
      <c r="I25" s="311">
        <v>0</v>
      </c>
      <c r="J25" s="311">
        <v>1</v>
      </c>
      <c r="K25" s="310">
        <v>1</v>
      </c>
      <c r="L25" s="310"/>
      <c r="M25" s="310"/>
      <c r="N25" s="310">
        <v>1</v>
      </c>
      <c r="O25" s="310"/>
      <c r="P25" s="310">
        <v>1</v>
      </c>
      <c r="Q25" s="310"/>
      <c r="R25" s="310"/>
      <c r="S25" s="310"/>
      <c r="T25" s="310"/>
      <c r="U25" s="310"/>
      <c r="V25" s="310"/>
      <c r="W25" s="295" t="s">
        <v>253</v>
      </c>
      <c r="X25" s="310">
        <v>0</v>
      </c>
      <c r="Y25" s="310"/>
      <c r="Z25" s="310"/>
      <c r="AA25" s="310"/>
      <c r="AB25" s="310"/>
      <c r="AC25" s="310"/>
      <c r="AD25" s="310"/>
      <c r="AE25" s="310"/>
      <c r="AF25" s="310"/>
      <c r="AG25" s="310"/>
      <c r="AH25" s="310"/>
    </row>
    <row r="26" spans="3:34" s="295" customFormat="1" x14ac:dyDescent="0.25">
      <c r="C26" s="277" t="s">
        <v>233</v>
      </c>
      <c r="D26" s="54">
        <v>6124037</v>
      </c>
      <c r="E26" s="273">
        <v>44438</v>
      </c>
      <c r="F26" s="273">
        <v>45265</v>
      </c>
      <c r="G26" s="23">
        <f t="shared" si="1"/>
        <v>827</v>
      </c>
      <c r="H26" s="16" t="s">
        <v>171</v>
      </c>
      <c r="I26" s="311">
        <v>0</v>
      </c>
      <c r="J26" s="311">
        <v>1</v>
      </c>
      <c r="K26" s="79">
        <v>2</v>
      </c>
      <c r="L26" s="79">
        <v>2</v>
      </c>
      <c r="M26" s="79">
        <v>2</v>
      </c>
      <c r="N26" s="79"/>
      <c r="O26" s="79">
        <v>2</v>
      </c>
      <c r="P26" s="79"/>
      <c r="Q26" s="79"/>
      <c r="R26" s="79"/>
      <c r="S26" s="79">
        <v>2</v>
      </c>
      <c r="T26" s="79"/>
      <c r="U26" s="79"/>
      <c r="V26" s="79"/>
      <c r="W26" s="272" t="s">
        <v>234</v>
      </c>
      <c r="X26" s="79">
        <v>0</v>
      </c>
      <c r="Y26" s="79"/>
      <c r="Z26" s="79"/>
      <c r="AA26" s="79"/>
      <c r="AB26" s="79"/>
      <c r="AC26" s="79"/>
      <c r="AD26" s="79"/>
      <c r="AE26" s="79"/>
      <c r="AF26" s="79"/>
      <c r="AG26" s="79"/>
      <c r="AH26" s="79"/>
    </row>
    <row r="27" spans="3:34" s="295" customFormat="1" x14ac:dyDescent="0.25">
      <c r="C27" s="303" t="s">
        <v>96</v>
      </c>
      <c r="D27" s="272">
        <v>4270218</v>
      </c>
      <c r="E27" s="273">
        <v>44609</v>
      </c>
      <c r="F27" s="296">
        <v>45363</v>
      </c>
      <c r="G27" s="297">
        <f t="shared" si="1"/>
        <v>754</v>
      </c>
      <c r="H27" s="9" t="s">
        <v>242</v>
      </c>
      <c r="I27" s="310">
        <v>0</v>
      </c>
      <c r="J27" s="310">
        <v>1</v>
      </c>
      <c r="K27" s="310">
        <v>1</v>
      </c>
      <c r="L27" s="310"/>
      <c r="M27" s="310"/>
      <c r="N27" s="310">
        <v>1</v>
      </c>
      <c r="O27" s="310"/>
      <c r="P27" s="310"/>
      <c r="Q27" s="310"/>
      <c r="R27" s="310"/>
      <c r="S27" s="310"/>
      <c r="T27" s="310"/>
      <c r="U27" s="310"/>
      <c r="V27" s="310"/>
      <c r="X27" s="310">
        <v>0</v>
      </c>
      <c r="Y27" s="310"/>
      <c r="Z27" s="310"/>
      <c r="AA27" s="310"/>
      <c r="AB27" s="310"/>
      <c r="AC27" s="310"/>
      <c r="AD27" s="310"/>
      <c r="AE27" s="310"/>
      <c r="AF27" s="310"/>
      <c r="AG27" s="310"/>
      <c r="AH27" s="310">
        <v>2</v>
      </c>
    </row>
    <row r="28" spans="3:34" s="295" customFormat="1" x14ac:dyDescent="0.25">
      <c r="C28" s="98" t="s">
        <v>146</v>
      </c>
      <c r="D28" s="304" t="s">
        <v>147</v>
      </c>
      <c r="E28" s="300">
        <v>44419</v>
      </c>
      <c r="F28" s="300">
        <v>45034</v>
      </c>
      <c r="G28" s="301">
        <f>(F28-E28)</f>
        <v>615</v>
      </c>
      <c r="H28" s="295" t="s">
        <v>242</v>
      </c>
      <c r="I28" s="310">
        <v>1</v>
      </c>
      <c r="J28" s="310">
        <v>1</v>
      </c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295" t="s">
        <v>149</v>
      </c>
      <c r="X28" s="310"/>
      <c r="Y28" s="310"/>
      <c r="Z28" s="310"/>
      <c r="AA28" s="310"/>
      <c r="AB28" s="310"/>
      <c r="AC28" s="310"/>
      <c r="AD28" s="310"/>
      <c r="AE28" s="310"/>
      <c r="AF28" s="310"/>
      <c r="AG28" s="310"/>
      <c r="AH28" s="310"/>
    </row>
    <row r="29" spans="3:34" s="295" customFormat="1" x14ac:dyDescent="0.25">
      <c r="C29" s="21" t="s">
        <v>177</v>
      </c>
      <c r="D29" s="22">
        <v>2024736</v>
      </c>
      <c r="E29" s="273">
        <v>44158</v>
      </c>
      <c r="F29" s="273">
        <v>44953</v>
      </c>
      <c r="G29" s="23">
        <f t="shared" ref="G29:G34" si="2">F29-E29</f>
        <v>795</v>
      </c>
      <c r="H29" s="9" t="s">
        <v>171</v>
      </c>
      <c r="I29" s="311" t="s">
        <v>172</v>
      </c>
      <c r="J29" s="311">
        <v>0</v>
      </c>
      <c r="K29" s="310" t="s">
        <v>172</v>
      </c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X29" s="310"/>
      <c r="Y29" s="310"/>
      <c r="Z29" s="310"/>
      <c r="AA29" s="310"/>
      <c r="AB29" s="310"/>
      <c r="AC29" s="310"/>
      <c r="AD29" s="310"/>
      <c r="AE29" s="310"/>
      <c r="AF29" s="310"/>
      <c r="AG29" s="310"/>
      <c r="AH29" s="310"/>
    </row>
    <row r="30" spans="3:34" s="295" customFormat="1" x14ac:dyDescent="0.25">
      <c r="C30" s="276" t="s">
        <v>244</v>
      </c>
      <c r="D30" s="22">
        <v>2363434</v>
      </c>
      <c r="E30" s="279">
        <v>44165</v>
      </c>
      <c r="F30" s="279">
        <v>44729</v>
      </c>
      <c r="G30" s="23">
        <f t="shared" si="2"/>
        <v>564</v>
      </c>
      <c r="H30" s="280" t="s">
        <v>242</v>
      </c>
      <c r="I30" s="312">
        <v>1</v>
      </c>
      <c r="J30" s="312">
        <v>1</v>
      </c>
      <c r="K30" s="310" t="s">
        <v>172</v>
      </c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</row>
    <row r="31" spans="3:34" s="295" customFormat="1" x14ac:dyDescent="0.25">
      <c r="C31" s="9" t="s">
        <v>38</v>
      </c>
      <c r="D31" s="9">
        <v>445884</v>
      </c>
      <c r="E31" s="273">
        <v>44223</v>
      </c>
      <c r="F31" s="296">
        <v>45350</v>
      </c>
      <c r="G31" s="297">
        <f t="shared" si="2"/>
        <v>1127</v>
      </c>
      <c r="H31" s="9" t="s">
        <v>171</v>
      </c>
      <c r="I31" s="310">
        <v>1</v>
      </c>
      <c r="J31" s="310">
        <v>1</v>
      </c>
      <c r="K31" s="310">
        <v>1</v>
      </c>
      <c r="L31" s="310"/>
      <c r="M31" s="310"/>
      <c r="N31" s="310">
        <v>1</v>
      </c>
      <c r="O31" s="310"/>
      <c r="P31" s="310"/>
      <c r="Q31" s="310"/>
      <c r="R31" s="310">
        <v>1</v>
      </c>
      <c r="S31" s="310"/>
      <c r="T31" s="310">
        <v>0</v>
      </c>
      <c r="U31" s="310"/>
      <c r="V31" s="310"/>
      <c r="W31" s="295" t="s">
        <v>37</v>
      </c>
      <c r="X31" s="310">
        <v>0</v>
      </c>
      <c r="Y31" s="310"/>
      <c r="Z31" s="310"/>
      <c r="AA31" s="310"/>
      <c r="AB31" s="310"/>
      <c r="AC31" s="310"/>
      <c r="AD31" s="310"/>
      <c r="AE31" s="310"/>
      <c r="AF31" s="310"/>
      <c r="AG31" s="310"/>
      <c r="AH31" s="310"/>
    </row>
    <row r="32" spans="3:34" s="295" customFormat="1" x14ac:dyDescent="0.25">
      <c r="C32" s="290" t="s">
        <v>269</v>
      </c>
      <c r="D32" s="297">
        <v>6150830</v>
      </c>
      <c r="E32" s="279">
        <v>44293</v>
      </c>
      <c r="F32" s="279">
        <v>45203</v>
      </c>
      <c r="G32" s="23">
        <f t="shared" si="2"/>
        <v>910</v>
      </c>
      <c r="H32" s="305" t="s">
        <v>242</v>
      </c>
      <c r="I32" s="311">
        <v>0</v>
      </c>
      <c r="J32" s="311">
        <v>1</v>
      </c>
      <c r="K32" s="313">
        <v>2</v>
      </c>
      <c r="L32" s="68"/>
      <c r="M32" s="68"/>
      <c r="N32" s="68">
        <v>2</v>
      </c>
      <c r="O32" s="68"/>
      <c r="P32" s="68">
        <v>2</v>
      </c>
      <c r="Q32" s="68"/>
      <c r="R32" s="68"/>
      <c r="S32" s="68"/>
      <c r="T32" s="68">
        <v>1</v>
      </c>
      <c r="U32" s="68"/>
      <c r="V32" s="68"/>
      <c r="W32" s="23"/>
      <c r="X32" s="68">
        <v>0</v>
      </c>
      <c r="Y32" s="68"/>
      <c r="Z32" s="68"/>
      <c r="AA32" s="68"/>
      <c r="AB32" s="68"/>
      <c r="AC32" s="68"/>
      <c r="AD32" s="68"/>
      <c r="AE32" s="68"/>
      <c r="AF32" s="68"/>
      <c r="AG32" s="68"/>
      <c r="AH32" s="68"/>
    </row>
    <row r="33" spans="3:34" s="295" customFormat="1" x14ac:dyDescent="0.25">
      <c r="C33" s="277" t="s">
        <v>287</v>
      </c>
      <c r="D33" s="16">
        <v>2581772</v>
      </c>
      <c r="E33" s="279">
        <v>44434</v>
      </c>
      <c r="F33" s="279">
        <v>45170</v>
      </c>
      <c r="G33" s="23">
        <f t="shared" si="2"/>
        <v>736</v>
      </c>
      <c r="H33" s="16" t="s">
        <v>242</v>
      </c>
      <c r="I33" s="311">
        <v>0</v>
      </c>
      <c r="J33" s="311">
        <v>1</v>
      </c>
      <c r="K33" s="79">
        <v>0</v>
      </c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272"/>
      <c r="X33" s="79">
        <v>0</v>
      </c>
      <c r="Y33" s="79"/>
      <c r="Z33" s="79"/>
      <c r="AA33" s="79"/>
      <c r="AB33" s="79"/>
      <c r="AC33" s="79"/>
      <c r="AD33" s="79"/>
      <c r="AE33" s="79"/>
      <c r="AF33" s="79"/>
      <c r="AG33" s="79"/>
      <c r="AH33" s="79"/>
    </row>
    <row r="34" spans="3:34" s="295" customFormat="1" x14ac:dyDescent="0.25">
      <c r="C34" s="276" t="s">
        <v>250</v>
      </c>
      <c r="D34" s="22">
        <v>5027608</v>
      </c>
      <c r="E34" s="279">
        <v>44172</v>
      </c>
      <c r="F34" s="279">
        <v>45098</v>
      </c>
      <c r="G34" s="23">
        <f t="shared" si="2"/>
        <v>926</v>
      </c>
      <c r="H34" s="9" t="s">
        <v>242</v>
      </c>
      <c r="I34" s="311">
        <v>0</v>
      </c>
      <c r="J34" s="311">
        <v>1</v>
      </c>
      <c r="K34" s="310">
        <v>1</v>
      </c>
      <c r="L34" s="310"/>
      <c r="M34" s="310"/>
      <c r="N34" s="310">
        <v>1</v>
      </c>
      <c r="O34" s="310"/>
      <c r="P34" s="310"/>
      <c r="Q34" s="310"/>
      <c r="R34" s="310"/>
      <c r="S34" s="310"/>
      <c r="T34" s="310"/>
      <c r="U34" s="310"/>
      <c r="V34" s="310"/>
      <c r="X34" s="310">
        <v>0</v>
      </c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</row>
    <row r="35" spans="3:34" s="295" customFormat="1" x14ac:dyDescent="0.25">
      <c r="C35" s="272" t="s">
        <v>168</v>
      </c>
      <c r="D35" s="272">
        <v>6666857</v>
      </c>
      <c r="E35" s="300">
        <v>44656</v>
      </c>
      <c r="F35" s="300">
        <v>45420</v>
      </c>
      <c r="G35" s="301">
        <f>(F35-E35)</f>
        <v>764</v>
      </c>
      <c r="H35" s="295" t="s">
        <v>242</v>
      </c>
      <c r="I35" s="310">
        <v>0</v>
      </c>
      <c r="J35" s="310">
        <v>1</v>
      </c>
      <c r="K35" s="310">
        <v>1</v>
      </c>
      <c r="L35" s="310"/>
      <c r="M35" s="310"/>
      <c r="N35" s="310"/>
      <c r="O35" s="310">
        <v>1</v>
      </c>
      <c r="P35" s="310"/>
      <c r="Q35" s="310"/>
      <c r="R35" s="310">
        <v>1</v>
      </c>
      <c r="S35" s="310"/>
      <c r="T35" s="310">
        <v>1</v>
      </c>
      <c r="U35" s="310"/>
      <c r="V35" s="310"/>
      <c r="X35" s="310">
        <v>1</v>
      </c>
      <c r="Y35" s="310"/>
      <c r="Z35" s="310">
        <v>1</v>
      </c>
      <c r="AA35" s="310">
        <v>1</v>
      </c>
      <c r="AB35" s="310"/>
      <c r="AC35" s="310"/>
      <c r="AD35" s="310"/>
      <c r="AE35" s="310"/>
      <c r="AF35" s="310"/>
      <c r="AG35" s="310"/>
      <c r="AH35" s="310"/>
    </row>
    <row r="36" spans="3:34" s="295" customFormat="1" x14ac:dyDescent="0.25">
      <c r="C36" s="272" t="s">
        <v>58</v>
      </c>
      <c r="D36" s="306">
        <v>6587602</v>
      </c>
      <c r="E36" s="273">
        <v>44489</v>
      </c>
      <c r="F36" s="296">
        <v>44881</v>
      </c>
      <c r="G36" s="297">
        <f>F36-E36</f>
        <v>392</v>
      </c>
      <c r="H36" s="9" t="s">
        <v>171</v>
      </c>
      <c r="I36" s="310">
        <v>1</v>
      </c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310"/>
      <c r="AH36" s="310"/>
    </row>
    <row r="37" spans="3:34" s="295" customFormat="1" x14ac:dyDescent="0.25">
      <c r="C37" s="276" t="s">
        <v>255</v>
      </c>
      <c r="D37" s="22">
        <v>4195624</v>
      </c>
      <c r="E37" s="279">
        <v>44257</v>
      </c>
      <c r="F37" s="279">
        <v>45188</v>
      </c>
      <c r="G37" s="23">
        <f>F37-E37</f>
        <v>931</v>
      </c>
      <c r="H37" s="9" t="s">
        <v>242</v>
      </c>
      <c r="I37" s="311">
        <v>0</v>
      </c>
      <c r="J37" s="311">
        <v>1</v>
      </c>
      <c r="K37" s="310">
        <v>1</v>
      </c>
      <c r="L37" s="310"/>
      <c r="M37" s="310"/>
      <c r="N37" s="310">
        <v>1</v>
      </c>
      <c r="O37" s="310"/>
      <c r="P37" s="310"/>
      <c r="Q37" s="310"/>
      <c r="R37" s="310">
        <v>1</v>
      </c>
      <c r="S37" s="310"/>
      <c r="T37" s="310"/>
      <c r="U37" s="310"/>
      <c r="V37" s="310"/>
      <c r="X37" s="310">
        <v>0</v>
      </c>
      <c r="Y37" s="310"/>
      <c r="Z37" s="310"/>
      <c r="AA37" s="310"/>
      <c r="AB37" s="310"/>
      <c r="AC37" s="310"/>
      <c r="AD37" s="310"/>
      <c r="AE37" s="310"/>
      <c r="AF37" s="310"/>
      <c r="AG37" s="310"/>
      <c r="AH37" s="310"/>
    </row>
    <row r="38" spans="3:34" s="295" customFormat="1" x14ac:dyDescent="0.25">
      <c r="C38" s="216" t="s">
        <v>210</v>
      </c>
      <c r="D38" s="46">
        <v>4618189</v>
      </c>
      <c r="E38" s="273">
        <v>44336</v>
      </c>
      <c r="F38" s="273">
        <v>45265</v>
      </c>
      <c r="G38" s="23">
        <f>F38-E38</f>
        <v>929</v>
      </c>
      <c r="H38" s="295" t="s">
        <v>171</v>
      </c>
      <c r="I38" s="311">
        <v>0</v>
      </c>
      <c r="J38" s="311">
        <v>1</v>
      </c>
      <c r="K38" s="310">
        <v>1</v>
      </c>
      <c r="L38" s="310"/>
      <c r="M38" s="310"/>
      <c r="N38" s="310"/>
      <c r="O38" s="310"/>
      <c r="P38" s="310"/>
      <c r="Q38" s="310"/>
      <c r="R38" s="310">
        <v>1</v>
      </c>
      <c r="S38" s="310"/>
      <c r="T38" s="310"/>
      <c r="U38" s="310"/>
      <c r="V38" s="310"/>
      <c r="X38" s="310">
        <v>1</v>
      </c>
      <c r="Y38" s="310"/>
      <c r="Z38" s="310"/>
      <c r="AA38" s="310"/>
      <c r="AB38" s="310"/>
      <c r="AC38" s="310">
        <v>1</v>
      </c>
      <c r="AD38" s="310"/>
      <c r="AE38" s="310"/>
      <c r="AF38" s="310"/>
      <c r="AG38" s="310"/>
      <c r="AH38" s="310"/>
    </row>
    <row r="39" spans="3:34" s="295" customFormat="1" x14ac:dyDescent="0.25">
      <c r="C39" s="304" t="s">
        <v>51</v>
      </c>
      <c r="D39" s="306">
        <v>4366069</v>
      </c>
      <c r="E39" s="273">
        <v>44410</v>
      </c>
      <c r="F39" s="296">
        <v>45427</v>
      </c>
      <c r="G39" s="297">
        <f>F39-E39</f>
        <v>1017</v>
      </c>
      <c r="H39" s="9" t="s">
        <v>171</v>
      </c>
      <c r="I39" s="310">
        <v>1</v>
      </c>
      <c r="J39" s="310">
        <v>1</v>
      </c>
      <c r="K39" s="310">
        <v>0</v>
      </c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295" t="s">
        <v>52</v>
      </c>
      <c r="X39" s="310">
        <v>0</v>
      </c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</row>
    <row r="40" spans="3:34" s="295" customFormat="1" x14ac:dyDescent="0.25">
      <c r="C40" s="52" t="s">
        <v>156</v>
      </c>
      <c r="D40" s="50" t="s">
        <v>157</v>
      </c>
      <c r="E40" s="300">
        <v>44459</v>
      </c>
      <c r="F40" s="300">
        <v>45399</v>
      </c>
      <c r="G40" s="301">
        <f>(F40-E40)</f>
        <v>940</v>
      </c>
      <c r="H40" s="295" t="s">
        <v>242</v>
      </c>
      <c r="I40" s="310">
        <v>0</v>
      </c>
      <c r="J40" s="310">
        <v>1</v>
      </c>
      <c r="K40" s="310">
        <v>0</v>
      </c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X40" s="310">
        <v>0</v>
      </c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</row>
    <row r="41" spans="3:34" s="295" customFormat="1" x14ac:dyDescent="0.25">
      <c r="C41" s="21" t="s">
        <v>260</v>
      </c>
      <c r="D41" s="22">
        <v>6384553</v>
      </c>
      <c r="E41" s="279">
        <v>44264</v>
      </c>
      <c r="F41" s="279">
        <v>45216</v>
      </c>
      <c r="G41" s="23">
        <f>F41-E41</f>
        <v>952</v>
      </c>
      <c r="H41" s="9" t="s">
        <v>242</v>
      </c>
      <c r="I41" s="311">
        <v>0</v>
      </c>
      <c r="J41" s="311">
        <v>1</v>
      </c>
      <c r="K41" s="310">
        <v>0</v>
      </c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X41" s="310">
        <v>0</v>
      </c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</row>
    <row r="42" spans="3:34" s="295" customFormat="1" x14ac:dyDescent="0.25">
      <c r="C42" s="272" t="s">
        <v>119</v>
      </c>
      <c r="D42" s="272">
        <v>4784733</v>
      </c>
      <c r="E42" s="273">
        <v>44778</v>
      </c>
      <c r="F42" s="296">
        <v>45348</v>
      </c>
      <c r="G42" s="297">
        <f>F42-E42</f>
        <v>570</v>
      </c>
      <c r="H42" s="9" t="s">
        <v>242</v>
      </c>
      <c r="I42" s="310">
        <v>1</v>
      </c>
      <c r="J42" s="310">
        <v>1</v>
      </c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X42" s="310"/>
      <c r="Y42" s="310"/>
      <c r="Z42" s="310"/>
      <c r="AA42" s="310"/>
      <c r="AB42" s="310"/>
      <c r="AC42" s="310"/>
      <c r="AD42" s="310"/>
      <c r="AE42" s="310"/>
      <c r="AF42" s="310"/>
      <c r="AG42" s="310"/>
      <c r="AH42" s="310"/>
    </row>
    <row r="43" spans="3:34" s="295" customFormat="1" x14ac:dyDescent="0.25">
      <c r="C43" s="52" t="s">
        <v>154</v>
      </c>
      <c r="D43" s="50" t="s">
        <v>155</v>
      </c>
      <c r="E43" s="300">
        <v>44441</v>
      </c>
      <c r="F43" s="300">
        <v>45392</v>
      </c>
      <c r="G43" s="301">
        <f>(F43-E43)</f>
        <v>951</v>
      </c>
      <c r="H43" s="295" t="s">
        <v>242</v>
      </c>
      <c r="I43" s="310">
        <v>0</v>
      </c>
      <c r="J43" s="310">
        <v>1</v>
      </c>
      <c r="K43" s="310">
        <v>1</v>
      </c>
      <c r="L43" s="310"/>
      <c r="M43" s="310"/>
      <c r="N43" s="310">
        <v>1</v>
      </c>
      <c r="O43" s="310"/>
      <c r="P43" s="310">
        <v>1</v>
      </c>
      <c r="Q43" s="310"/>
      <c r="R43" s="310">
        <v>1</v>
      </c>
      <c r="S43" s="310"/>
      <c r="T43" s="310">
        <v>1</v>
      </c>
      <c r="U43" s="310"/>
      <c r="V43" s="310"/>
      <c r="X43" s="310">
        <v>0</v>
      </c>
      <c r="Y43" s="310"/>
      <c r="Z43" s="310"/>
      <c r="AA43" s="310"/>
      <c r="AB43" s="310"/>
      <c r="AC43" s="310"/>
      <c r="AD43" s="310"/>
      <c r="AE43" s="310"/>
      <c r="AF43" s="310"/>
      <c r="AG43" s="310">
        <v>1</v>
      </c>
      <c r="AH43" s="310">
        <v>2</v>
      </c>
    </row>
    <row r="44" spans="3:34" s="295" customFormat="1" x14ac:dyDescent="0.25">
      <c r="C44" s="50" t="s">
        <v>226</v>
      </c>
      <c r="D44" s="51">
        <v>5431737</v>
      </c>
      <c r="E44" s="273">
        <v>44419</v>
      </c>
      <c r="F44" s="273">
        <v>45174</v>
      </c>
      <c r="G44" s="23">
        <f t="shared" ref="G44:G73" si="3">F44-E44</f>
        <v>755</v>
      </c>
      <c r="H44" s="16" t="s">
        <v>171</v>
      </c>
      <c r="I44" s="311">
        <v>0</v>
      </c>
      <c r="J44" s="311">
        <v>1</v>
      </c>
      <c r="K44" s="79">
        <v>0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272"/>
      <c r="X44" s="79">
        <v>0</v>
      </c>
      <c r="Y44" s="79"/>
      <c r="Z44" s="79"/>
      <c r="AA44" s="79"/>
      <c r="AB44" s="79"/>
      <c r="AC44" s="79"/>
      <c r="AD44" s="79"/>
      <c r="AE44" s="79"/>
      <c r="AF44" s="79"/>
      <c r="AG44" s="79"/>
      <c r="AH44" s="79"/>
    </row>
    <row r="45" spans="3:34" s="295" customFormat="1" x14ac:dyDescent="0.25">
      <c r="C45" s="9" t="s">
        <v>190</v>
      </c>
      <c r="D45" s="22">
        <v>2250030</v>
      </c>
      <c r="E45" s="273">
        <v>44266</v>
      </c>
      <c r="F45" s="273">
        <v>45188</v>
      </c>
      <c r="G45" s="23">
        <f t="shared" si="3"/>
        <v>922</v>
      </c>
      <c r="H45" s="9" t="s">
        <v>171</v>
      </c>
      <c r="I45" s="311">
        <v>0</v>
      </c>
      <c r="J45" s="311">
        <v>1</v>
      </c>
      <c r="K45" s="310">
        <v>2</v>
      </c>
      <c r="L45" s="310"/>
      <c r="M45" s="310"/>
      <c r="N45" s="310"/>
      <c r="O45" s="310"/>
      <c r="P45" s="310">
        <v>2</v>
      </c>
      <c r="Q45" s="310"/>
      <c r="R45" s="310">
        <v>2</v>
      </c>
      <c r="S45" s="310"/>
      <c r="T45" s="310"/>
      <c r="U45" s="310"/>
      <c r="V45" s="310"/>
      <c r="W45" s="295" t="s">
        <v>191</v>
      </c>
      <c r="X45" s="310">
        <v>0</v>
      </c>
      <c r="Y45" s="310"/>
      <c r="Z45" s="310"/>
      <c r="AA45" s="310"/>
      <c r="AB45" s="310"/>
      <c r="AC45" s="310"/>
      <c r="AD45" s="310"/>
      <c r="AE45" s="310"/>
      <c r="AF45" s="310"/>
      <c r="AG45" s="310"/>
      <c r="AH45" s="310"/>
    </row>
    <row r="46" spans="3:34" s="295" customFormat="1" x14ac:dyDescent="0.25">
      <c r="C46" s="21" t="s">
        <v>254</v>
      </c>
      <c r="D46" s="22">
        <v>4178252</v>
      </c>
      <c r="E46" s="279">
        <v>44330</v>
      </c>
      <c r="F46" s="279">
        <v>45180</v>
      </c>
      <c r="G46" s="23">
        <f t="shared" si="3"/>
        <v>850</v>
      </c>
      <c r="H46" s="9" t="s">
        <v>242</v>
      </c>
      <c r="I46" s="311">
        <v>0</v>
      </c>
      <c r="J46" s="311">
        <v>1</v>
      </c>
      <c r="K46" s="310">
        <v>0</v>
      </c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X46" s="310">
        <v>0</v>
      </c>
      <c r="Y46" s="310"/>
      <c r="Z46" s="310"/>
      <c r="AA46" s="310"/>
      <c r="AB46" s="310"/>
      <c r="AC46" s="310"/>
      <c r="AD46" s="310"/>
      <c r="AE46" s="310"/>
      <c r="AF46" s="310"/>
      <c r="AG46" s="310"/>
      <c r="AH46" s="310"/>
    </row>
    <row r="47" spans="3:34" s="295" customFormat="1" x14ac:dyDescent="0.25">
      <c r="C47" s="21" t="s">
        <v>42</v>
      </c>
      <c r="D47" s="9">
        <v>2162352</v>
      </c>
      <c r="E47" s="273">
        <v>44274</v>
      </c>
      <c r="F47" s="296">
        <v>45377</v>
      </c>
      <c r="G47" s="297">
        <f t="shared" si="3"/>
        <v>1103</v>
      </c>
      <c r="H47" s="9" t="s">
        <v>171</v>
      </c>
      <c r="I47" s="310">
        <v>0</v>
      </c>
      <c r="J47" s="310">
        <v>1</v>
      </c>
      <c r="K47" s="310">
        <v>1</v>
      </c>
      <c r="L47" s="310"/>
      <c r="M47" s="310"/>
      <c r="N47" s="310">
        <v>1</v>
      </c>
      <c r="O47" s="310">
        <v>1</v>
      </c>
      <c r="P47" s="310"/>
      <c r="Q47" s="310"/>
      <c r="R47" s="310"/>
      <c r="S47" s="310">
        <v>1</v>
      </c>
      <c r="T47" s="310">
        <v>1</v>
      </c>
      <c r="U47" s="310"/>
      <c r="V47" s="310"/>
      <c r="W47" s="295" t="s">
        <v>37</v>
      </c>
      <c r="X47" s="310">
        <v>0</v>
      </c>
      <c r="Y47" s="310"/>
      <c r="Z47" s="310"/>
      <c r="AA47" s="310"/>
      <c r="AB47" s="310"/>
      <c r="AC47" s="310"/>
      <c r="AD47" s="310"/>
      <c r="AE47" s="310"/>
      <c r="AF47" s="310"/>
      <c r="AG47" s="310"/>
      <c r="AH47" s="310">
        <v>2</v>
      </c>
    </row>
    <row r="48" spans="3:34" s="295" customFormat="1" x14ac:dyDescent="0.25">
      <c r="C48" s="295" t="s">
        <v>298</v>
      </c>
      <c r="D48" s="54">
        <v>6523086</v>
      </c>
      <c r="E48" s="279">
        <v>44474</v>
      </c>
      <c r="F48" s="279">
        <v>45236</v>
      </c>
      <c r="G48" s="23">
        <f t="shared" si="3"/>
        <v>762</v>
      </c>
      <c r="H48" s="22" t="s">
        <v>242</v>
      </c>
      <c r="I48" s="311">
        <v>0</v>
      </c>
      <c r="J48" s="311">
        <v>1</v>
      </c>
      <c r="K48" s="79">
        <v>0</v>
      </c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X48" s="79">
        <v>0</v>
      </c>
      <c r="Y48" s="310"/>
      <c r="Z48" s="310"/>
      <c r="AA48" s="310"/>
      <c r="AB48" s="310"/>
      <c r="AC48" s="310"/>
      <c r="AD48" s="310"/>
      <c r="AE48" s="310"/>
      <c r="AF48" s="310"/>
      <c r="AG48" s="310"/>
      <c r="AH48" s="310"/>
    </row>
    <row r="49" spans="3:34" s="295" customFormat="1" x14ac:dyDescent="0.25">
      <c r="C49" s="21" t="s">
        <v>185</v>
      </c>
      <c r="D49" s="22">
        <v>2071874</v>
      </c>
      <c r="E49" s="273">
        <v>44174</v>
      </c>
      <c r="F49" s="273">
        <v>44900</v>
      </c>
      <c r="G49" s="23">
        <f t="shared" si="3"/>
        <v>726</v>
      </c>
      <c r="H49" s="9" t="s">
        <v>171</v>
      </c>
      <c r="I49" s="311">
        <v>0</v>
      </c>
      <c r="J49" s="311">
        <v>1</v>
      </c>
      <c r="K49" s="310">
        <v>0</v>
      </c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X49" s="310">
        <v>0</v>
      </c>
      <c r="Y49" s="310"/>
      <c r="Z49" s="310"/>
      <c r="AA49" s="310"/>
      <c r="AB49" s="310"/>
      <c r="AC49" s="310"/>
      <c r="AD49" s="310"/>
      <c r="AE49" s="310"/>
      <c r="AF49" s="310"/>
      <c r="AG49" s="310"/>
      <c r="AH49" s="310"/>
    </row>
    <row r="50" spans="3:34" s="295" customFormat="1" x14ac:dyDescent="0.25">
      <c r="C50" s="281" t="s">
        <v>87</v>
      </c>
      <c r="D50" s="272">
        <v>5334891</v>
      </c>
      <c r="E50" s="273">
        <v>44607</v>
      </c>
      <c r="F50" s="296">
        <v>45006</v>
      </c>
      <c r="G50" s="297">
        <f t="shared" si="3"/>
        <v>399</v>
      </c>
      <c r="H50" s="9" t="s">
        <v>242</v>
      </c>
      <c r="I50" s="310">
        <v>1</v>
      </c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</row>
    <row r="51" spans="3:34" s="295" customFormat="1" x14ac:dyDescent="0.25">
      <c r="C51" s="50" t="s">
        <v>106</v>
      </c>
      <c r="D51" s="16">
        <v>4146544</v>
      </c>
      <c r="E51" s="273">
        <v>44680</v>
      </c>
      <c r="F51" s="296">
        <v>45058</v>
      </c>
      <c r="G51" s="297">
        <f t="shared" si="3"/>
        <v>378</v>
      </c>
      <c r="H51" s="9" t="s">
        <v>242</v>
      </c>
      <c r="I51" s="310">
        <v>1</v>
      </c>
      <c r="J51" s="310">
        <v>1</v>
      </c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</row>
    <row r="52" spans="3:34" s="295" customFormat="1" x14ac:dyDescent="0.25">
      <c r="C52" s="298" t="s">
        <v>265</v>
      </c>
      <c r="D52" s="57">
        <v>2664848</v>
      </c>
      <c r="E52" s="279">
        <v>44267</v>
      </c>
      <c r="F52" s="279">
        <v>45266</v>
      </c>
      <c r="G52" s="23">
        <f t="shared" si="3"/>
        <v>999</v>
      </c>
      <c r="H52" s="298" t="s">
        <v>242</v>
      </c>
      <c r="I52" s="311">
        <v>0</v>
      </c>
      <c r="J52" s="311">
        <v>1</v>
      </c>
      <c r="K52" s="310">
        <v>0</v>
      </c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X52" s="310">
        <v>0</v>
      </c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</row>
    <row r="53" spans="3:34" s="295" customFormat="1" x14ac:dyDescent="0.25">
      <c r="C53" s="272" t="s">
        <v>63</v>
      </c>
      <c r="D53" s="272">
        <v>5395575</v>
      </c>
      <c r="E53" s="273">
        <v>44543</v>
      </c>
      <c r="F53" s="296">
        <v>45468</v>
      </c>
      <c r="G53" s="297">
        <f t="shared" si="3"/>
        <v>925</v>
      </c>
      <c r="H53" s="9" t="s">
        <v>242</v>
      </c>
      <c r="I53" s="310">
        <v>0</v>
      </c>
      <c r="J53" s="310">
        <v>1</v>
      </c>
      <c r="K53" s="310">
        <v>1</v>
      </c>
      <c r="L53" s="310"/>
      <c r="M53" s="310"/>
      <c r="N53" s="310">
        <v>1</v>
      </c>
      <c r="O53" s="310"/>
      <c r="P53" s="310"/>
      <c r="Q53" s="310"/>
      <c r="R53" s="310"/>
      <c r="S53" s="310"/>
      <c r="T53" s="310">
        <v>1</v>
      </c>
      <c r="U53" s="310"/>
      <c r="V53" s="310"/>
      <c r="X53" s="310">
        <v>0</v>
      </c>
      <c r="Y53" s="310"/>
      <c r="Z53" s="310"/>
      <c r="AA53" s="310"/>
      <c r="AB53" s="310"/>
      <c r="AC53" s="310"/>
      <c r="AD53" s="310"/>
      <c r="AE53" s="310"/>
      <c r="AF53" s="310"/>
      <c r="AG53" s="310"/>
      <c r="AH53" s="310">
        <v>2</v>
      </c>
    </row>
    <row r="54" spans="3:34" s="295" customFormat="1" x14ac:dyDescent="0.25">
      <c r="C54" s="50" t="s">
        <v>124</v>
      </c>
      <c r="D54" s="16">
        <v>4527386</v>
      </c>
      <c r="E54" s="273">
        <v>44869</v>
      </c>
      <c r="F54" s="296">
        <v>45433</v>
      </c>
      <c r="G54" s="297">
        <f t="shared" si="3"/>
        <v>564</v>
      </c>
      <c r="H54" s="9" t="s">
        <v>242</v>
      </c>
      <c r="I54" s="310">
        <v>0</v>
      </c>
      <c r="J54" s="310">
        <v>1</v>
      </c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X54" s="310"/>
      <c r="Y54" s="310"/>
      <c r="Z54" s="310"/>
      <c r="AA54" s="310"/>
      <c r="AB54" s="310"/>
      <c r="AC54" s="310"/>
      <c r="AD54" s="310"/>
      <c r="AE54" s="310"/>
      <c r="AF54" s="310"/>
      <c r="AG54" s="310"/>
      <c r="AH54" s="310"/>
    </row>
    <row r="55" spans="3:34" s="295" customFormat="1" x14ac:dyDescent="0.25">
      <c r="C55" s="16" t="s">
        <v>39</v>
      </c>
      <c r="D55" s="16">
        <v>4851478</v>
      </c>
      <c r="E55" s="273">
        <v>44420</v>
      </c>
      <c r="F55" s="296">
        <v>45349</v>
      </c>
      <c r="G55" s="297">
        <f t="shared" si="3"/>
        <v>929</v>
      </c>
      <c r="H55" s="9" t="s">
        <v>242</v>
      </c>
      <c r="I55" s="310">
        <v>0</v>
      </c>
      <c r="J55" s="310">
        <v>1</v>
      </c>
      <c r="K55" s="310">
        <v>0</v>
      </c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X55" s="310">
        <v>0</v>
      </c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</row>
    <row r="56" spans="3:34" s="295" customFormat="1" x14ac:dyDescent="0.25">
      <c r="C56" s="50" t="s">
        <v>105</v>
      </c>
      <c r="D56" s="16">
        <v>6600811</v>
      </c>
      <c r="E56" s="273">
        <v>44629</v>
      </c>
      <c r="F56" s="296">
        <v>45373</v>
      </c>
      <c r="G56" s="297">
        <f t="shared" si="3"/>
        <v>744</v>
      </c>
      <c r="H56" s="9" t="s">
        <v>242</v>
      </c>
      <c r="I56" s="310">
        <v>0</v>
      </c>
      <c r="J56" s="310">
        <v>1</v>
      </c>
      <c r="K56" s="310">
        <v>0</v>
      </c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X56" s="310">
        <v>0</v>
      </c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</row>
    <row r="57" spans="3:34" s="295" customFormat="1" x14ac:dyDescent="0.25">
      <c r="C57" s="272" t="s">
        <v>135</v>
      </c>
      <c r="D57" s="272">
        <v>1535492</v>
      </c>
      <c r="E57" s="273">
        <v>44726</v>
      </c>
      <c r="F57" s="296">
        <v>45310</v>
      </c>
      <c r="G57" s="297">
        <f t="shared" si="3"/>
        <v>584</v>
      </c>
      <c r="H57" s="9" t="s">
        <v>242</v>
      </c>
      <c r="I57" s="310">
        <v>1</v>
      </c>
      <c r="J57" s="310">
        <v>1</v>
      </c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X57" s="310"/>
      <c r="Y57" s="310"/>
      <c r="Z57" s="310"/>
      <c r="AA57" s="310"/>
      <c r="AB57" s="310"/>
      <c r="AC57" s="310"/>
      <c r="AD57" s="310"/>
      <c r="AE57" s="310"/>
      <c r="AF57" s="310"/>
      <c r="AG57" s="310"/>
      <c r="AH57" s="310"/>
    </row>
    <row r="58" spans="3:34" s="295" customFormat="1" x14ac:dyDescent="0.25">
      <c r="C58" s="50" t="s">
        <v>132</v>
      </c>
      <c r="D58" s="16">
        <v>4765561</v>
      </c>
      <c r="E58" s="273">
        <v>44705</v>
      </c>
      <c r="F58" s="296">
        <v>45457</v>
      </c>
      <c r="G58" s="297">
        <f t="shared" si="3"/>
        <v>752</v>
      </c>
      <c r="H58" s="9" t="s">
        <v>242</v>
      </c>
      <c r="I58" s="310">
        <v>0</v>
      </c>
      <c r="J58" s="310">
        <v>1</v>
      </c>
      <c r="K58" s="310">
        <v>1</v>
      </c>
      <c r="L58" s="310"/>
      <c r="M58" s="310"/>
      <c r="N58" s="310">
        <v>1</v>
      </c>
      <c r="O58" s="310"/>
      <c r="P58" s="310"/>
      <c r="Q58" s="310"/>
      <c r="R58" s="310"/>
      <c r="S58" s="310"/>
      <c r="T58" s="310"/>
      <c r="U58" s="310"/>
      <c r="V58" s="310"/>
      <c r="X58" s="310">
        <v>0</v>
      </c>
      <c r="Y58" s="310"/>
      <c r="Z58" s="310"/>
      <c r="AA58" s="310"/>
      <c r="AB58" s="310"/>
      <c r="AC58" s="310"/>
      <c r="AD58" s="310"/>
      <c r="AE58" s="310"/>
      <c r="AF58" s="310"/>
      <c r="AG58" s="310"/>
      <c r="AH58" s="310">
        <v>2</v>
      </c>
    </row>
    <row r="59" spans="3:34" s="295" customFormat="1" x14ac:dyDescent="0.25">
      <c r="C59" s="272" t="s">
        <v>297</v>
      </c>
      <c r="D59" s="272">
        <v>872301</v>
      </c>
      <c r="E59" s="279">
        <v>44446</v>
      </c>
      <c r="F59" s="279">
        <v>45147</v>
      </c>
      <c r="G59" s="23">
        <f t="shared" si="3"/>
        <v>701</v>
      </c>
      <c r="H59" s="16" t="s">
        <v>242</v>
      </c>
      <c r="I59" s="314">
        <v>0</v>
      </c>
      <c r="J59" s="311">
        <v>1</v>
      </c>
      <c r="K59" s="79">
        <v>0</v>
      </c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272"/>
      <c r="X59" s="79">
        <v>0</v>
      </c>
      <c r="Y59" s="79"/>
      <c r="Z59" s="79"/>
      <c r="AA59" s="79"/>
      <c r="AB59" s="79"/>
      <c r="AC59" s="79"/>
      <c r="AD59" s="79"/>
      <c r="AE59" s="79"/>
      <c r="AF59" s="79"/>
      <c r="AG59" s="79"/>
      <c r="AH59" s="79"/>
    </row>
    <row r="60" spans="3:34" s="295" customFormat="1" x14ac:dyDescent="0.25">
      <c r="C60" s="50" t="s">
        <v>136</v>
      </c>
      <c r="D60" s="16">
        <v>6430663</v>
      </c>
      <c r="E60" s="273">
        <v>44792</v>
      </c>
      <c r="F60" s="296">
        <v>45401</v>
      </c>
      <c r="G60" s="297">
        <f t="shared" si="3"/>
        <v>609</v>
      </c>
      <c r="H60" s="9" t="s">
        <v>242</v>
      </c>
      <c r="I60" s="310">
        <v>0</v>
      </c>
      <c r="J60" s="310">
        <v>1</v>
      </c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</row>
    <row r="61" spans="3:34" s="295" customFormat="1" x14ac:dyDescent="0.25">
      <c r="C61" s="52" t="s">
        <v>55</v>
      </c>
      <c r="D61" s="16">
        <v>2803028</v>
      </c>
      <c r="E61" s="273">
        <v>44489</v>
      </c>
      <c r="F61" s="296">
        <v>45434</v>
      </c>
      <c r="G61" s="297">
        <f t="shared" si="3"/>
        <v>945</v>
      </c>
      <c r="H61" s="9" t="s">
        <v>242</v>
      </c>
      <c r="I61" s="310">
        <v>0</v>
      </c>
      <c r="J61" s="310">
        <v>1</v>
      </c>
      <c r="K61" s="310">
        <v>1</v>
      </c>
      <c r="L61" s="310"/>
      <c r="M61" s="310"/>
      <c r="N61" s="310"/>
      <c r="O61" s="310"/>
      <c r="P61" s="310"/>
      <c r="Q61" s="310"/>
      <c r="R61" s="310"/>
      <c r="S61" s="310"/>
      <c r="T61" s="310">
        <v>1</v>
      </c>
      <c r="U61" s="310"/>
      <c r="V61" s="310"/>
      <c r="X61" s="310">
        <v>0</v>
      </c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</row>
    <row r="62" spans="3:34" s="295" customFormat="1" x14ac:dyDescent="0.25">
      <c r="C62" s="274" t="s">
        <v>272</v>
      </c>
      <c r="D62" s="22">
        <v>5836728</v>
      </c>
      <c r="E62" s="279">
        <v>44315</v>
      </c>
      <c r="F62" s="279">
        <v>45235</v>
      </c>
      <c r="G62" s="23">
        <f t="shared" si="3"/>
        <v>920</v>
      </c>
      <c r="H62" s="305" t="s">
        <v>242</v>
      </c>
      <c r="I62" s="311">
        <v>0</v>
      </c>
      <c r="J62" s="311">
        <v>1</v>
      </c>
      <c r="K62" s="68">
        <v>0</v>
      </c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23"/>
      <c r="X62" s="68">
        <v>0</v>
      </c>
      <c r="Y62" s="68"/>
      <c r="Z62" s="68"/>
      <c r="AA62" s="68"/>
      <c r="AB62" s="68"/>
      <c r="AC62" s="68"/>
      <c r="AD62" s="68"/>
      <c r="AE62" s="68"/>
      <c r="AF62" s="68"/>
      <c r="AG62" s="68"/>
      <c r="AH62" s="68"/>
    </row>
    <row r="63" spans="3:34" s="295" customFormat="1" x14ac:dyDescent="0.25">
      <c r="C63" s="94" t="s">
        <v>62</v>
      </c>
      <c r="D63" s="16">
        <v>4419787</v>
      </c>
      <c r="E63" s="273">
        <v>44687</v>
      </c>
      <c r="F63" s="296">
        <v>45433</v>
      </c>
      <c r="G63" s="297">
        <f t="shared" si="3"/>
        <v>746</v>
      </c>
      <c r="H63" s="9" t="s">
        <v>171</v>
      </c>
      <c r="I63" s="310">
        <v>0</v>
      </c>
      <c r="J63" s="310">
        <v>1</v>
      </c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X63" s="310"/>
      <c r="Y63" s="310"/>
      <c r="Z63" s="310"/>
      <c r="AA63" s="310"/>
      <c r="AB63" s="310"/>
      <c r="AC63" s="310"/>
      <c r="AD63" s="310"/>
      <c r="AE63" s="310"/>
      <c r="AF63" s="310"/>
      <c r="AG63" s="310"/>
      <c r="AH63" s="310"/>
    </row>
    <row r="64" spans="3:34" s="295" customFormat="1" x14ac:dyDescent="0.25">
      <c r="C64" s="50" t="s">
        <v>77</v>
      </c>
      <c r="D64" s="16">
        <v>6428654</v>
      </c>
      <c r="E64" s="273">
        <v>44580</v>
      </c>
      <c r="F64" s="296">
        <v>45349</v>
      </c>
      <c r="G64" s="297">
        <f t="shared" si="3"/>
        <v>769</v>
      </c>
      <c r="H64" s="9" t="s">
        <v>242</v>
      </c>
      <c r="I64" s="310">
        <v>0</v>
      </c>
      <c r="J64" s="310">
        <v>1</v>
      </c>
      <c r="K64" s="310">
        <v>1</v>
      </c>
      <c r="L64" s="310"/>
      <c r="M64" s="310"/>
      <c r="N64" s="310">
        <v>1</v>
      </c>
      <c r="O64" s="310"/>
      <c r="P64" s="310"/>
      <c r="Q64" s="310"/>
      <c r="R64" s="310"/>
      <c r="S64" s="310"/>
      <c r="T64" s="310">
        <v>1</v>
      </c>
      <c r="U64" s="310"/>
      <c r="V64" s="310"/>
      <c r="X64" s="310">
        <v>0</v>
      </c>
      <c r="Y64" s="310"/>
      <c r="Z64" s="310"/>
      <c r="AA64" s="310"/>
      <c r="AB64" s="310"/>
      <c r="AC64" s="310"/>
      <c r="AD64" s="310"/>
      <c r="AE64" s="310"/>
      <c r="AF64" s="310"/>
      <c r="AG64" s="310"/>
      <c r="AH64" s="310">
        <v>2</v>
      </c>
    </row>
    <row r="65" spans="3:34" s="295" customFormat="1" x14ac:dyDescent="0.25">
      <c r="C65" s="303" t="s">
        <v>95</v>
      </c>
      <c r="D65" s="272">
        <v>2307308</v>
      </c>
      <c r="E65" s="273">
        <v>44641</v>
      </c>
      <c r="F65" s="296">
        <v>44741</v>
      </c>
      <c r="G65" s="297">
        <f t="shared" si="3"/>
        <v>100</v>
      </c>
      <c r="H65" s="9" t="s">
        <v>242</v>
      </c>
      <c r="I65" s="310">
        <v>1</v>
      </c>
      <c r="J65" s="310">
        <v>1</v>
      </c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X65" s="310"/>
      <c r="Y65" s="310"/>
      <c r="Z65" s="310"/>
      <c r="AA65" s="310"/>
      <c r="AB65" s="310"/>
      <c r="AC65" s="310"/>
      <c r="AD65" s="310"/>
      <c r="AE65" s="310"/>
      <c r="AF65" s="310"/>
      <c r="AG65" s="310"/>
      <c r="AH65" s="310"/>
    </row>
    <row r="66" spans="3:34" s="295" customFormat="1" x14ac:dyDescent="0.25">
      <c r="C66" s="272" t="s">
        <v>134</v>
      </c>
      <c r="D66" s="272">
        <v>6742386</v>
      </c>
      <c r="E66" s="273">
        <v>44704</v>
      </c>
      <c r="F66" s="296">
        <v>45468</v>
      </c>
      <c r="G66" s="297">
        <f t="shared" si="3"/>
        <v>764</v>
      </c>
      <c r="H66" s="9" t="s">
        <v>242</v>
      </c>
      <c r="I66" s="310">
        <v>0</v>
      </c>
      <c r="J66" s="310">
        <v>1</v>
      </c>
      <c r="K66" s="310">
        <v>0</v>
      </c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X66" s="310">
        <v>0</v>
      </c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</row>
    <row r="67" spans="3:34" s="295" customFormat="1" x14ac:dyDescent="0.25">
      <c r="C67" s="50" t="s">
        <v>100</v>
      </c>
      <c r="D67" s="16">
        <v>1022690</v>
      </c>
      <c r="E67" s="273">
        <v>44606</v>
      </c>
      <c r="F67" s="296">
        <v>45358</v>
      </c>
      <c r="G67" s="297">
        <f t="shared" si="3"/>
        <v>752</v>
      </c>
      <c r="H67" s="9" t="s">
        <v>242</v>
      </c>
      <c r="I67" s="310">
        <v>0</v>
      </c>
      <c r="J67" s="310">
        <v>1</v>
      </c>
      <c r="K67" s="310">
        <v>0</v>
      </c>
      <c r="L67" s="310"/>
      <c r="M67" s="310"/>
      <c r="N67" s="310"/>
      <c r="O67" s="310"/>
      <c r="P67" s="310"/>
      <c r="Q67" s="310"/>
      <c r="R67" s="310">
        <v>1</v>
      </c>
      <c r="S67" s="310"/>
      <c r="T67" s="310"/>
      <c r="U67" s="310"/>
      <c r="V67" s="310"/>
      <c r="X67" s="310">
        <v>0</v>
      </c>
      <c r="Y67" s="310"/>
      <c r="Z67" s="310"/>
      <c r="AA67" s="310"/>
      <c r="AB67" s="310"/>
      <c r="AC67" s="310"/>
      <c r="AD67" s="310"/>
      <c r="AE67" s="310"/>
      <c r="AF67" s="310"/>
      <c r="AG67" s="310"/>
      <c r="AH67" s="310">
        <v>2</v>
      </c>
    </row>
    <row r="68" spans="3:34" s="295" customFormat="1" x14ac:dyDescent="0.25">
      <c r="C68" s="302" t="s">
        <v>299</v>
      </c>
      <c r="D68" s="298">
        <v>3540097</v>
      </c>
      <c r="E68" s="279">
        <v>44501</v>
      </c>
      <c r="F68" s="279">
        <v>45223</v>
      </c>
      <c r="G68" s="23">
        <f t="shared" si="3"/>
        <v>722</v>
      </c>
      <c r="H68" s="298" t="s">
        <v>242</v>
      </c>
      <c r="I68" s="315">
        <v>0</v>
      </c>
      <c r="J68" s="311">
        <v>1</v>
      </c>
      <c r="K68" s="79">
        <v>0</v>
      </c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X68" s="79">
        <v>0</v>
      </c>
      <c r="Y68" s="310"/>
      <c r="Z68" s="310"/>
      <c r="AA68" s="310"/>
      <c r="AB68" s="310"/>
      <c r="AC68" s="310"/>
      <c r="AD68" s="310"/>
      <c r="AE68" s="310"/>
      <c r="AF68" s="310"/>
      <c r="AG68" s="310"/>
      <c r="AH68" s="310"/>
    </row>
    <row r="69" spans="3:34" s="295" customFormat="1" x14ac:dyDescent="0.25">
      <c r="C69" s="272" t="s">
        <v>72</v>
      </c>
      <c r="D69" s="272">
        <v>4855890</v>
      </c>
      <c r="E69" s="273">
        <v>44580</v>
      </c>
      <c r="F69" s="296">
        <v>45488</v>
      </c>
      <c r="G69" s="297">
        <f t="shared" si="3"/>
        <v>908</v>
      </c>
      <c r="H69" s="9" t="s">
        <v>171</v>
      </c>
      <c r="I69" s="310">
        <v>0</v>
      </c>
      <c r="J69" s="310">
        <v>1</v>
      </c>
      <c r="K69" s="310">
        <v>0</v>
      </c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X69" s="310">
        <v>0</v>
      </c>
      <c r="Y69" s="310"/>
      <c r="Z69" s="310"/>
      <c r="AA69" s="310"/>
      <c r="AB69" s="310"/>
      <c r="AC69" s="310"/>
      <c r="AD69" s="310"/>
      <c r="AE69" s="310"/>
      <c r="AF69" s="310"/>
      <c r="AG69" s="310"/>
      <c r="AH69" s="310">
        <v>2</v>
      </c>
    </row>
    <row r="70" spans="3:34" s="295" customFormat="1" x14ac:dyDescent="0.25">
      <c r="C70" s="277" t="s">
        <v>296</v>
      </c>
      <c r="D70" s="16">
        <v>6502699</v>
      </c>
      <c r="E70" s="279">
        <v>44428</v>
      </c>
      <c r="F70" s="279">
        <v>45236</v>
      </c>
      <c r="G70" s="23">
        <f t="shared" si="3"/>
        <v>808</v>
      </c>
      <c r="H70" s="16" t="s">
        <v>242</v>
      </c>
      <c r="I70" s="311">
        <v>0</v>
      </c>
      <c r="J70" s="311">
        <v>1</v>
      </c>
      <c r="K70" s="79">
        <v>0</v>
      </c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272"/>
      <c r="X70" s="79">
        <v>0</v>
      </c>
      <c r="Y70" s="79"/>
      <c r="Z70" s="79"/>
      <c r="AA70" s="79"/>
      <c r="AB70" s="79"/>
      <c r="AC70" s="79"/>
      <c r="AD70" s="79"/>
      <c r="AE70" s="79"/>
      <c r="AF70" s="79"/>
      <c r="AG70" s="79"/>
      <c r="AH70" s="79"/>
    </row>
    <row r="71" spans="3:34" s="295" customFormat="1" x14ac:dyDescent="0.25">
      <c r="C71" s="282" t="s">
        <v>270</v>
      </c>
      <c r="D71" s="9">
        <v>2447128</v>
      </c>
      <c r="E71" s="279">
        <v>44320</v>
      </c>
      <c r="F71" s="279">
        <v>44441</v>
      </c>
      <c r="G71" s="23">
        <f t="shared" si="3"/>
        <v>121</v>
      </c>
      <c r="H71" s="9" t="s">
        <v>242</v>
      </c>
      <c r="I71" s="311" t="s">
        <v>172</v>
      </c>
      <c r="J71" s="311">
        <v>0</v>
      </c>
      <c r="K71" s="78" t="s">
        <v>172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216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</row>
    <row r="72" spans="3:34" s="295" customFormat="1" x14ac:dyDescent="0.25">
      <c r="C72" s="216" t="s">
        <v>273</v>
      </c>
      <c r="D72" s="216">
        <v>6232438</v>
      </c>
      <c r="E72" s="279">
        <v>44342</v>
      </c>
      <c r="F72" s="279">
        <v>45107</v>
      </c>
      <c r="G72" s="23">
        <f t="shared" si="3"/>
        <v>765</v>
      </c>
      <c r="H72" s="9" t="s">
        <v>242</v>
      </c>
      <c r="I72" s="311">
        <v>0</v>
      </c>
      <c r="J72" s="311">
        <v>1</v>
      </c>
      <c r="K72" s="78">
        <v>0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216"/>
      <c r="X72" s="78">
        <v>0</v>
      </c>
      <c r="Y72" s="78"/>
      <c r="Z72" s="78"/>
      <c r="AA72" s="78"/>
      <c r="AB72" s="78"/>
      <c r="AC72" s="78"/>
      <c r="AD72" s="78"/>
      <c r="AE72" s="78"/>
      <c r="AF72" s="78"/>
      <c r="AG72" s="78"/>
      <c r="AH72" s="78"/>
    </row>
    <row r="73" spans="3:34" s="295" customFormat="1" x14ac:dyDescent="0.25">
      <c r="C73" s="50" t="s">
        <v>94</v>
      </c>
      <c r="D73" s="16">
        <v>1827901</v>
      </c>
      <c r="E73" s="273">
        <v>44630</v>
      </c>
      <c r="F73" s="296">
        <v>45356</v>
      </c>
      <c r="G73" s="297">
        <f t="shared" si="3"/>
        <v>726</v>
      </c>
      <c r="H73" s="9" t="s">
        <v>242</v>
      </c>
      <c r="I73" s="310">
        <v>0</v>
      </c>
      <c r="J73" s="310">
        <v>1</v>
      </c>
      <c r="K73" s="310">
        <v>0</v>
      </c>
      <c r="L73" s="310"/>
      <c r="M73" s="310"/>
      <c r="N73" s="310"/>
      <c r="O73" s="310"/>
      <c r="P73" s="310"/>
      <c r="Q73" s="310"/>
      <c r="R73" s="310"/>
      <c r="S73" s="310"/>
      <c r="T73" s="310">
        <v>1</v>
      </c>
      <c r="U73" s="310"/>
      <c r="V73" s="310"/>
      <c r="X73" s="310">
        <v>0</v>
      </c>
      <c r="Y73" s="310"/>
      <c r="Z73" s="310"/>
      <c r="AA73" s="310"/>
      <c r="AB73" s="310"/>
      <c r="AC73" s="310"/>
      <c r="AD73" s="310"/>
      <c r="AE73" s="310"/>
      <c r="AF73" s="310"/>
      <c r="AG73" s="310"/>
      <c r="AH73" s="310"/>
    </row>
    <row r="74" spans="3:34" s="295" customFormat="1" x14ac:dyDescent="0.25">
      <c r="C74" s="50" t="s">
        <v>165</v>
      </c>
      <c r="D74" s="50" t="s">
        <v>166</v>
      </c>
      <c r="E74" s="300">
        <v>44615</v>
      </c>
      <c r="F74" s="300">
        <v>45385</v>
      </c>
      <c r="G74" s="301">
        <f>(F74-E74)</f>
        <v>770</v>
      </c>
      <c r="H74" s="295" t="s">
        <v>242</v>
      </c>
      <c r="I74" s="310">
        <v>0</v>
      </c>
      <c r="J74" s="310">
        <v>1</v>
      </c>
      <c r="K74" s="310">
        <v>0</v>
      </c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X74" s="310">
        <v>0</v>
      </c>
      <c r="Y74" s="310"/>
      <c r="Z74" s="310"/>
      <c r="AA74" s="310"/>
      <c r="AB74" s="310"/>
      <c r="AC74" s="310"/>
      <c r="AD74" s="310"/>
      <c r="AE74" s="310"/>
      <c r="AF74" s="310"/>
      <c r="AG74" s="310"/>
      <c r="AH74" s="310"/>
    </row>
    <row r="75" spans="3:34" s="295" customFormat="1" x14ac:dyDescent="0.25">
      <c r="C75" s="21" t="s">
        <v>261</v>
      </c>
      <c r="D75" s="22">
        <v>5030650</v>
      </c>
      <c r="E75" s="279">
        <v>44257</v>
      </c>
      <c r="F75" s="279">
        <v>45266</v>
      </c>
      <c r="G75" s="23">
        <f t="shared" ref="G75:G86" si="4">F75-E75</f>
        <v>1009</v>
      </c>
      <c r="H75" s="9" t="s">
        <v>242</v>
      </c>
      <c r="I75" s="311">
        <v>0</v>
      </c>
      <c r="J75" s="311">
        <v>1</v>
      </c>
      <c r="K75" s="310">
        <v>0</v>
      </c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X75" s="310">
        <v>0</v>
      </c>
      <c r="Y75" s="310"/>
      <c r="Z75" s="310"/>
      <c r="AA75" s="310"/>
      <c r="AB75" s="310"/>
      <c r="AC75" s="310"/>
      <c r="AD75" s="310"/>
      <c r="AE75" s="310"/>
      <c r="AF75" s="310"/>
      <c r="AG75" s="310"/>
      <c r="AH75" s="310"/>
    </row>
    <row r="76" spans="3:34" s="295" customFormat="1" x14ac:dyDescent="0.25">
      <c r="C76" s="50" t="s">
        <v>60</v>
      </c>
      <c r="D76" s="16">
        <v>6195907</v>
      </c>
      <c r="E76" s="273">
        <v>44488</v>
      </c>
      <c r="F76" s="296">
        <v>45434</v>
      </c>
      <c r="G76" s="297">
        <f t="shared" si="4"/>
        <v>946</v>
      </c>
      <c r="H76" s="9" t="s">
        <v>171</v>
      </c>
      <c r="I76" s="310">
        <v>0</v>
      </c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310"/>
      <c r="AH76" s="310"/>
    </row>
    <row r="77" spans="3:34" s="295" customFormat="1" x14ac:dyDescent="0.25">
      <c r="C77" s="21" t="s">
        <v>187</v>
      </c>
      <c r="D77" s="22">
        <v>5441069</v>
      </c>
      <c r="E77" s="273">
        <v>44235</v>
      </c>
      <c r="F77" s="273">
        <v>45147</v>
      </c>
      <c r="G77" s="23">
        <f t="shared" si="4"/>
        <v>912</v>
      </c>
      <c r="H77" s="9" t="s">
        <v>171</v>
      </c>
      <c r="I77" s="311">
        <v>0</v>
      </c>
      <c r="J77" s="311">
        <v>1</v>
      </c>
      <c r="K77" s="310">
        <v>0</v>
      </c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X77" s="310">
        <v>0</v>
      </c>
      <c r="Y77" s="310"/>
      <c r="Z77" s="310"/>
      <c r="AA77" s="310"/>
      <c r="AB77" s="310"/>
      <c r="AC77" s="310"/>
      <c r="AD77" s="310"/>
      <c r="AE77" s="310"/>
      <c r="AF77" s="310"/>
      <c r="AG77" s="310"/>
      <c r="AH77" s="310"/>
    </row>
    <row r="78" spans="3:34" s="295" customFormat="1" x14ac:dyDescent="0.25">
      <c r="C78" s="272" t="s">
        <v>91</v>
      </c>
      <c r="D78" s="272">
        <v>5209809</v>
      </c>
      <c r="E78" s="273">
        <v>44690</v>
      </c>
      <c r="F78" s="296">
        <v>45426</v>
      </c>
      <c r="G78" s="297">
        <f t="shared" si="4"/>
        <v>736</v>
      </c>
      <c r="H78" s="9" t="s">
        <v>242</v>
      </c>
      <c r="I78" s="310">
        <v>0</v>
      </c>
      <c r="J78" s="310">
        <v>1</v>
      </c>
      <c r="K78" s="310">
        <v>0</v>
      </c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X78" s="310">
        <v>0</v>
      </c>
      <c r="Y78" s="310"/>
      <c r="Z78" s="310"/>
      <c r="AA78" s="310"/>
      <c r="AB78" s="310"/>
      <c r="AC78" s="310"/>
      <c r="AD78" s="310"/>
      <c r="AE78" s="310"/>
      <c r="AF78" s="310"/>
      <c r="AG78" s="310"/>
      <c r="AH78" s="310">
        <v>1</v>
      </c>
    </row>
    <row r="79" spans="3:34" s="295" customFormat="1" x14ac:dyDescent="0.25">
      <c r="C79" s="50" t="s">
        <v>98</v>
      </c>
      <c r="D79" s="16">
        <v>5400588</v>
      </c>
      <c r="E79" s="273">
        <v>44620</v>
      </c>
      <c r="F79" s="296">
        <v>45028</v>
      </c>
      <c r="G79" s="297">
        <f t="shared" si="4"/>
        <v>408</v>
      </c>
      <c r="H79" s="9" t="s">
        <v>242</v>
      </c>
      <c r="I79" s="310">
        <v>1</v>
      </c>
      <c r="J79" s="310">
        <v>1</v>
      </c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X79" s="310"/>
      <c r="Y79" s="310"/>
      <c r="Z79" s="310"/>
      <c r="AA79" s="310"/>
      <c r="AB79" s="310"/>
      <c r="AC79" s="310"/>
      <c r="AD79" s="310"/>
      <c r="AE79" s="310"/>
      <c r="AF79" s="310"/>
      <c r="AG79" s="310"/>
      <c r="AH79" s="310"/>
    </row>
    <row r="80" spans="3:34" s="295" customFormat="1" x14ac:dyDescent="0.25">
      <c r="C80" s="9" t="s">
        <v>33</v>
      </c>
      <c r="D80" s="9">
        <v>1984126</v>
      </c>
      <c r="E80" s="273">
        <v>44188</v>
      </c>
      <c r="F80" s="296">
        <v>45454</v>
      </c>
      <c r="G80" s="297">
        <f t="shared" si="4"/>
        <v>1266</v>
      </c>
      <c r="H80" s="9" t="s">
        <v>171</v>
      </c>
      <c r="I80" s="310">
        <v>0</v>
      </c>
      <c r="J80" s="310">
        <v>1</v>
      </c>
      <c r="K80" s="310">
        <v>0</v>
      </c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X80" s="310">
        <v>0</v>
      </c>
      <c r="Y80" s="310"/>
      <c r="Z80" s="310"/>
      <c r="AA80" s="310"/>
      <c r="AB80" s="310"/>
      <c r="AC80" s="310"/>
      <c r="AD80" s="310"/>
      <c r="AE80" s="310"/>
      <c r="AF80" s="310"/>
      <c r="AG80" s="310"/>
      <c r="AH80" s="310"/>
    </row>
    <row r="81" spans="3:34" s="295" customFormat="1" x14ac:dyDescent="0.25">
      <c r="C81" s="50" t="s">
        <v>125</v>
      </c>
      <c r="D81" s="16">
        <v>4800599</v>
      </c>
      <c r="E81" s="273">
        <v>44701</v>
      </c>
      <c r="F81" s="296">
        <v>45450</v>
      </c>
      <c r="G81" s="297">
        <f t="shared" si="4"/>
        <v>749</v>
      </c>
      <c r="H81" s="9" t="s">
        <v>242</v>
      </c>
      <c r="I81" s="310">
        <v>0</v>
      </c>
      <c r="J81" s="310">
        <v>1</v>
      </c>
      <c r="K81" s="310">
        <v>1</v>
      </c>
      <c r="L81" s="310"/>
      <c r="M81" s="310"/>
      <c r="N81" s="310">
        <v>1</v>
      </c>
      <c r="O81" s="310">
        <v>1</v>
      </c>
      <c r="P81" s="310"/>
      <c r="Q81" s="310"/>
      <c r="R81" s="310">
        <v>1</v>
      </c>
      <c r="S81" s="310"/>
      <c r="T81" s="310"/>
      <c r="U81" s="310"/>
      <c r="V81" s="310"/>
      <c r="X81" s="310">
        <v>0</v>
      </c>
      <c r="Y81" s="310"/>
      <c r="Z81" s="310"/>
      <c r="AA81" s="310"/>
      <c r="AB81" s="310"/>
      <c r="AC81" s="310"/>
      <c r="AD81" s="310"/>
      <c r="AE81" s="310"/>
      <c r="AF81" s="310"/>
      <c r="AG81" s="310"/>
      <c r="AH81" s="310">
        <v>2</v>
      </c>
    </row>
    <row r="82" spans="3:34" s="295" customFormat="1" x14ac:dyDescent="0.25">
      <c r="C82" s="272" t="s">
        <v>118</v>
      </c>
      <c r="D82" s="272">
        <v>3621453</v>
      </c>
      <c r="E82" s="273">
        <v>44669</v>
      </c>
      <c r="F82" s="296">
        <v>45414</v>
      </c>
      <c r="G82" s="297">
        <f t="shared" si="4"/>
        <v>745</v>
      </c>
      <c r="H82" s="9" t="s">
        <v>242</v>
      </c>
      <c r="I82" s="310">
        <v>0</v>
      </c>
      <c r="J82" s="310">
        <v>1</v>
      </c>
      <c r="K82" s="310">
        <v>1</v>
      </c>
      <c r="L82" s="310"/>
      <c r="M82" s="310"/>
      <c r="N82" s="310"/>
      <c r="O82" s="310">
        <v>1</v>
      </c>
      <c r="P82" s="310"/>
      <c r="Q82" s="310"/>
      <c r="R82" s="310">
        <v>1</v>
      </c>
      <c r="S82" s="310"/>
      <c r="T82" s="310"/>
      <c r="U82" s="310"/>
      <c r="V82" s="310"/>
      <c r="X82" s="310">
        <v>0</v>
      </c>
      <c r="Y82" s="310"/>
      <c r="Z82" s="310"/>
      <c r="AA82" s="310"/>
      <c r="AB82" s="310"/>
      <c r="AC82" s="310"/>
      <c r="AD82" s="310"/>
      <c r="AE82" s="310"/>
      <c r="AF82" s="310"/>
      <c r="AG82" s="310"/>
      <c r="AH82" s="310"/>
    </row>
    <row r="83" spans="3:34" s="295" customFormat="1" x14ac:dyDescent="0.25">
      <c r="C83" s="50" t="s">
        <v>78</v>
      </c>
      <c r="D83" s="16">
        <v>5874563</v>
      </c>
      <c r="E83" s="273">
        <v>44550</v>
      </c>
      <c r="F83" s="296">
        <v>44860</v>
      </c>
      <c r="G83" s="297">
        <f t="shared" si="4"/>
        <v>310</v>
      </c>
      <c r="H83" s="9" t="s">
        <v>242</v>
      </c>
      <c r="I83" s="310">
        <v>1</v>
      </c>
      <c r="J83" s="310"/>
      <c r="K83" s="310"/>
      <c r="L83" s="316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X83" s="310"/>
      <c r="Y83" s="310"/>
      <c r="Z83" s="310"/>
      <c r="AA83" s="310"/>
      <c r="AB83" s="310"/>
      <c r="AC83" s="310"/>
      <c r="AD83" s="310"/>
      <c r="AE83" s="310"/>
      <c r="AF83" s="310"/>
      <c r="AG83" s="310"/>
      <c r="AH83" s="310"/>
    </row>
    <row r="84" spans="3:34" s="295" customFormat="1" x14ac:dyDescent="0.25">
      <c r="C84" s="277" t="s">
        <v>229</v>
      </c>
      <c r="D84" s="51">
        <v>400664</v>
      </c>
      <c r="E84" s="273">
        <v>44453</v>
      </c>
      <c r="F84" s="273">
        <v>45174</v>
      </c>
      <c r="G84" s="23">
        <f t="shared" si="4"/>
        <v>721</v>
      </c>
      <c r="H84" s="16" t="s">
        <v>171</v>
      </c>
      <c r="I84" s="314">
        <v>0</v>
      </c>
      <c r="J84" s="311">
        <v>1</v>
      </c>
      <c r="K84" s="79">
        <v>1</v>
      </c>
      <c r="L84" s="79"/>
      <c r="M84" s="79"/>
      <c r="N84" s="79"/>
      <c r="O84" s="79"/>
      <c r="P84" s="79"/>
      <c r="Q84" s="79"/>
      <c r="R84" s="79">
        <v>1</v>
      </c>
      <c r="S84" s="79"/>
      <c r="T84" s="79"/>
      <c r="U84" s="79"/>
      <c r="V84" s="79"/>
      <c r="W84" s="272"/>
      <c r="X84" s="79">
        <v>0</v>
      </c>
      <c r="Y84" s="79"/>
      <c r="Z84" s="79"/>
      <c r="AA84" s="79"/>
      <c r="AB84" s="79"/>
      <c r="AC84" s="79"/>
      <c r="AD84" s="79"/>
      <c r="AE84" s="79"/>
      <c r="AF84" s="79"/>
      <c r="AG84" s="79"/>
      <c r="AH84" s="79"/>
    </row>
    <row r="85" spans="3:34" s="295" customFormat="1" x14ac:dyDescent="0.25">
      <c r="C85" s="50" t="s">
        <v>79</v>
      </c>
      <c r="D85" s="16">
        <v>2950188</v>
      </c>
      <c r="E85" s="273">
        <v>44532</v>
      </c>
      <c r="F85" s="296">
        <v>45429</v>
      </c>
      <c r="G85" s="297">
        <f t="shared" si="4"/>
        <v>897</v>
      </c>
      <c r="H85" s="9" t="s">
        <v>242</v>
      </c>
      <c r="I85" s="310">
        <v>0</v>
      </c>
      <c r="J85" s="310">
        <v>1</v>
      </c>
      <c r="K85" s="310">
        <v>1</v>
      </c>
      <c r="L85" s="310"/>
      <c r="M85" s="310"/>
      <c r="N85" s="310">
        <v>1</v>
      </c>
      <c r="O85" s="310"/>
      <c r="P85" s="310"/>
      <c r="Q85" s="310"/>
      <c r="R85" s="310"/>
      <c r="S85" s="310"/>
      <c r="T85" s="310"/>
      <c r="U85" s="310"/>
      <c r="V85" s="310"/>
      <c r="X85" s="310">
        <v>0</v>
      </c>
      <c r="Y85" s="310"/>
      <c r="Z85" s="310"/>
      <c r="AA85" s="310"/>
      <c r="AB85" s="310"/>
      <c r="AC85" s="310"/>
      <c r="AD85" s="310"/>
      <c r="AE85" s="310"/>
      <c r="AF85" s="310"/>
      <c r="AG85" s="310">
        <v>1</v>
      </c>
      <c r="AH85" s="310">
        <v>2</v>
      </c>
    </row>
    <row r="86" spans="3:34" s="295" customFormat="1" x14ac:dyDescent="0.25">
      <c r="C86" s="50" t="s">
        <v>129</v>
      </c>
      <c r="D86" s="16">
        <v>1599183</v>
      </c>
      <c r="E86" s="273">
        <v>44698</v>
      </c>
      <c r="F86" s="296">
        <v>45448</v>
      </c>
      <c r="G86" s="297">
        <f t="shared" si="4"/>
        <v>750</v>
      </c>
      <c r="H86" s="9" t="s">
        <v>242</v>
      </c>
      <c r="I86" s="310">
        <v>0</v>
      </c>
      <c r="J86" s="310">
        <v>1</v>
      </c>
      <c r="K86" s="310">
        <v>2</v>
      </c>
      <c r="L86" s="310"/>
      <c r="M86" s="310"/>
      <c r="N86" s="310">
        <v>1</v>
      </c>
      <c r="O86" s="310"/>
      <c r="P86" s="310">
        <v>2</v>
      </c>
      <c r="Q86" s="310"/>
      <c r="R86" s="310">
        <v>1</v>
      </c>
      <c r="S86" s="310">
        <v>1</v>
      </c>
      <c r="T86" s="310"/>
      <c r="U86" s="310"/>
      <c r="V86" s="310"/>
      <c r="X86" s="310">
        <v>0</v>
      </c>
      <c r="Y86" s="310"/>
      <c r="Z86" s="310"/>
      <c r="AA86" s="310"/>
      <c r="AB86" s="310"/>
      <c r="AC86" s="310"/>
      <c r="AD86" s="310"/>
      <c r="AE86" s="310"/>
      <c r="AF86" s="310"/>
      <c r="AG86" s="310"/>
      <c r="AH86" s="310"/>
    </row>
    <row r="87" spans="3:34" s="295" customFormat="1" x14ac:dyDescent="0.25">
      <c r="C87" s="98" t="s">
        <v>144</v>
      </c>
      <c r="D87" s="21" t="s">
        <v>145</v>
      </c>
      <c r="E87" s="300">
        <v>44340</v>
      </c>
      <c r="F87" s="300">
        <v>45475</v>
      </c>
      <c r="G87" s="301">
        <f>(F87-E87)</f>
        <v>1135</v>
      </c>
      <c r="H87" s="295" t="s">
        <v>171</v>
      </c>
      <c r="I87" s="310">
        <v>0</v>
      </c>
      <c r="J87" s="310">
        <v>1</v>
      </c>
      <c r="K87" s="310">
        <v>1</v>
      </c>
      <c r="L87" s="310"/>
      <c r="M87" s="310"/>
      <c r="N87" s="310"/>
      <c r="O87" s="310">
        <v>2</v>
      </c>
      <c r="P87" s="310"/>
      <c r="Q87" s="310"/>
      <c r="R87" s="310"/>
      <c r="S87" s="310"/>
      <c r="T87" s="310"/>
      <c r="U87" s="310"/>
      <c r="V87" s="310"/>
      <c r="X87" s="310">
        <v>0</v>
      </c>
      <c r="Y87" s="310"/>
      <c r="Z87" s="310"/>
      <c r="AA87" s="310"/>
      <c r="AB87" s="310"/>
      <c r="AC87" s="310"/>
      <c r="AD87" s="310"/>
      <c r="AE87" s="310"/>
      <c r="AF87" s="310"/>
      <c r="AG87" s="310"/>
      <c r="AH87" s="310">
        <v>1</v>
      </c>
    </row>
    <row r="88" spans="3:34" s="295" customFormat="1" x14ac:dyDescent="0.25">
      <c r="C88" s="50" t="s">
        <v>64</v>
      </c>
      <c r="D88" s="16">
        <v>6463964</v>
      </c>
      <c r="E88" s="273">
        <v>44519</v>
      </c>
      <c r="F88" s="296">
        <v>45441</v>
      </c>
      <c r="G88" s="297">
        <f t="shared" ref="G88:G102" si="5">F88-E88</f>
        <v>922</v>
      </c>
      <c r="H88" s="9" t="s">
        <v>242</v>
      </c>
      <c r="I88" s="310">
        <v>0</v>
      </c>
      <c r="J88" s="310">
        <v>1</v>
      </c>
      <c r="K88" s="310">
        <v>1</v>
      </c>
      <c r="L88" s="310"/>
      <c r="M88" s="310"/>
      <c r="N88" s="310">
        <v>1</v>
      </c>
      <c r="O88" s="310"/>
      <c r="P88" s="310"/>
      <c r="Q88" s="310"/>
      <c r="R88" s="310"/>
      <c r="S88" s="310"/>
      <c r="T88" s="310"/>
      <c r="U88" s="310"/>
      <c r="V88" s="310"/>
      <c r="X88" s="310">
        <v>0</v>
      </c>
      <c r="Y88" s="310"/>
      <c r="Z88" s="310"/>
      <c r="AA88" s="310"/>
      <c r="AB88" s="310"/>
      <c r="AC88" s="310"/>
      <c r="AD88" s="310"/>
      <c r="AE88" s="310"/>
      <c r="AF88" s="310"/>
      <c r="AG88" s="310">
        <v>1</v>
      </c>
      <c r="AH88" s="310">
        <v>1</v>
      </c>
    </row>
    <row r="89" spans="3:34" s="295" customFormat="1" x14ac:dyDescent="0.25">
      <c r="C89" s="50" t="s">
        <v>97</v>
      </c>
      <c r="D89" s="16">
        <v>1650342</v>
      </c>
      <c r="E89" s="273">
        <v>44631</v>
      </c>
      <c r="F89" s="296">
        <v>45373</v>
      </c>
      <c r="G89" s="297">
        <f t="shared" si="5"/>
        <v>742</v>
      </c>
      <c r="H89" s="9" t="s">
        <v>242</v>
      </c>
      <c r="I89" s="310">
        <v>0</v>
      </c>
      <c r="J89" s="310">
        <v>1</v>
      </c>
      <c r="K89" s="310">
        <v>1</v>
      </c>
      <c r="L89" s="310"/>
      <c r="M89" s="310">
        <v>1</v>
      </c>
      <c r="N89" s="310">
        <v>1</v>
      </c>
      <c r="O89" s="310"/>
      <c r="P89" s="310"/>
      <c r="Q89" s="310"/>
      <c r="R89" s="310"/>
      <c r="S89" s="310"/>
      <c r="T89" s="310"/>
      <c r="U89" s="310"/>
      <c r="V89" s="310"/>
      <c r="X89" s="310">
        <v>0</v>
      </c>
      <c r="Y89" s="310"/>
      <c r="Z89" s="310"/>
      <c r="AA89" s="310"/>
      <c r="AB89" s="310"/>
      <c r="AC89" s="310"/>
      <c r="AD89" s="310"/>
      <c r="AE89" s="310"/>
      <c r="AF89" s="310"/>
      <c r="AG89" s="310">
        <v>1</v>
      </c>
      <c r="AH89" s="310">
        <v>2</v>
      </c>
    </row>
    <row r="90" spans="3:34" s="295" customFormat="1" x14ac:dyDescent="0.25">
      <c r="C90" s="50" t="s">
        <v>76</v>
      </c>
      <c r="D90" s="16">
        <v>897445</v>
      </c>
      <c r="E90" s="273">
        <v>44543</v>
      </c>
      <c r="F90" s="296">
        <v>45476</v>
      </c>
      <c r="G90" s="297">
        <f t="shared" si="5"/>
        <v>933</v>
      </c>
      <c r="H90" s="9" t="s">
        <v>242</v>
      </c>
      <c r="I90" s="310">
        <v>0</v>
      </c>
      <c r="J90" s="310">
        <v>1</v>
      </c>
      <c r="K90" s="310">
        <v>1</v>
      </c>
      <c r="L90" s="310"/>
      <c r="M90" s="310"/>
      <c r="N90" s="310"/>
      <c r="O90" s="310">
        <v>1</v>
      </c>
      <c r="P90" s="310"/>
      <c r="Q90" s="310"/>
      <c r="R90" s="310"/>
      <c r="S90" s="310"/>
      <c r="T90" s="310"/>
      <c r="U90" s="310"/>
      <c r="V90" s="310"/>
      <c r="X90" s="310">
        <v>0</v>
      </c>
      <c r="Y90" s="310"/>
      <c r="Z90" s="310"/>
      <c r="AA90" s="310"/>
      <c r="AB90" s="310"/>
      <c r="AC90" s="310"/>
      <c r="AD90" s="310"/>
      <c r="AE90" s="310"/>
      <c r="AF90" s="310"/>
      <c r="AG90" s="310"/>
      <c r="AH90" s="310"/>
    </row>
    <row r="91" spans="3:34" s="295" customFormat="1" x14ac:dyDescent="0.25">
      <c r="C91" s="275" t="s">
        <v>294</v>
      </c>
      <c r="D91" s="16">
        <v>363876</v>
      </c>
      <c r="E91" s="279">
        <v>44432</v>
      </c>
      <c r="F91" s="279">
        <v>45236</v>
      </c>
      <c r="G91" s="23">
        <f t="shared" si="5"/>
        <v>804</v>
      </c>
      <c r="H91" s="16" t="s">
        <v>242</v>
      </c>
      <c r="I91" s="311">
        <v>0</v>
      </c>
      <c r="J91" s="311">
        <v>1</v>
      </c>
      <c r="K91" s="79">
        <v>0</v>
      </c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272"/>
      <c r="X91" s="79">
        <v>0</v>
      </c>
      <c r="Y91" s="79"/>
      <c r="Z91" s="79"/>
      <c r="AA91" s="79"/>
      <c r="AB91" s="79"/>
      <c r="AC91" s="79"/>
      <c r="AD91" s="79"/>
      <c r="AE91" s="79"/>
      <c r="AF91" s="79"/>
      <c r="AG91" s="79"/>
      <c r="AH91" s="79"/>
    </row>
    <row r="92" spans="3:34" s="295" customFormat="1" x14ac:dyDescent="0.25">
      <c r="C92" s="282" t="s">
        <v>271</v>
      </c>
      <c r="D92" s="9">
        <v>107002</v>
      </c>
      <c r="E92" s="279">
        <v>44337</v>
      </c>
      <c r="F92" s="279">
        <v>45268</v>
      </c>
      <c r="G92" s="23">
        <f t="shared" si="5"/>
        <v>931</v>
      </c>
      <c r="H92" s="295" t="s">
        <v>242</v>
      </c>
      <c r="I92" s="311">
        <v>0</v>
      </c>
      <c r="J92" s="311">
        <v>1</v>
      </c>
      <c r="K92" s="310">
        <v>0</v>
      </c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X92" s="310">
        <v>0</v>
      </c>
      <c r="Y92" s="310"/>
      <c r="Z92" s="310"/>
      <c r="AA92" s="310"/>
      <c r="AB92" s="310"/>
      <c r="AC92" s="310"/>
      <c r="AD92" s="310"/>
      <c r="AE92" s="310"/>
      <c r="AF92" s="310"/>
      <c r="AG92" s="310"/>
      <c r="AH92" s="310"/>
    </row>
    <row r="93" spans="3:34" s="295" customFormat="1" x14ac:dyDescent="0.25">
      <c r="C93" s="50" t="s">
        <v>109</v>
      </c>
      <c r="D93" s="16">
        <v>5174479</v>
      </c>
      <c r="E93" s="273">
        <v>44683</v>
      </c>
      <c r="F93" s="296">
        <v>45449</v>
      </c>
      <c r="G93" s="297">
        <f t="shared" si="5"/>
        <v>766</v>
      </c>
      <c r="H93" s="9" t="s">
        <v>242</v>
      </c>
      <c r="I93" s="310">
        <v>0</v>
      </c>
      <c r="J93" s="310">
        <v>1</v>
      </c>
      <c r="K93" s="310">
        <v>1</v>
      </c>
      <c r="L93" s="310"/>
      <c r="M93" s="310"/>
      <c r="N93" s="310">
        <v>1</v>
      </c>
      <c r="O93" s="310"/>
      <c r="P93" s="310"/>
      <c r="Q93" s="310"/>
      <c r="R93" s="310"/>
      <c r="S93" s="310"/>
      <c r="T93" s="310"/>
      <c r="U93" s="310"/>
      <c r="V93" s="310"/>
      <c r="X93" s="310">
        <v>0</v>
      </c>
      <c r="Y93" s="310"/>
      <c r="Z93" s="310"/>
      <c r="AA93" s="310"/>
      <c r="AB93" s="310"/>
      <c r="AC93" s="310"/>
      <c r="AD93" s="310"/>
      <c r="AE93" s="310"/>
      <c r="AF93" s="310"/>
      <c r="AG93" s="310"/>
      <c r="AH93" s="310">
        <v>1</v>
      </c>
    </row>
    <row r="94" spans="3:34" s="295" customFormat="1" x14ac:dyDescent="0.25">
      <c r="C94" s="50" t="s">
        <v>99</v>
      </c>
      <c r="D94" s="16">
        <v>3936017</v>
      </c>
      <c r="E94" s="273">
        <v>44628</v>
      </c>
      <c r="F94" s="296">
        <v>45373</v>
      </c>
      <c r="G94" s="297">
        <f t="shared" si="5"/>
        <v>745</v>
      </c>
      <c r="H94" s="9" t="s">
        <v>242</v>
      </c>
      <c r="I94" s="310">
        <v>0</v>
      </c>
      <c r="J94" s="310">
        <v>1</v>
      </c>
      <c r="K94" s="310">
        <v>1</v>
      </c>
      <c r="L94" s="310"/>
      <c r="M94" s="310"/>
      <c r="N94" s="310"/>
      <c r="O94" s="310"/>
      <c r="P94" s="310"/>
      <c r="Q94" s="310"/>
      <c r="R94" s="310">
        <v>1</v>
      </c>
      <c r="S94" s="310"/>
      <c r="T94" s="310"/>
      <c r="U94" s="310"/>
      <c r="V94" s="310"/>
      <c r="X94" s="310">
        <v>0</v>
      </c>
      <c r="Y94" s="310"/>
      <c r="Z94" s="310"/>
      <c r="AA94" s="310"/>
      <c r="AB94" s="310"/>
      <c r="AC94" s="310"/>
      <c r="AD94" s="310"/>
      <c r="AE94" s="310"/>
      <c r="AF94" s="310"/>
      <c r="AG94" s="310"/>
      <c r="AH94" s="310">
        <v>2</v>
      </c>
    </row>
    <row r="95" spans="3:34" s="295" customFormat="1" x14ac:dyDescent="0.25">
      <c r="C95" s="276" t="s">
        <v>188</v>
      </c>
      <c r="D95" s="22">
        <v>3769948</v>
      </c>
      <c r="E95" s="273">
        <v>44256</v>
      </c>
      <c r="F95" s="273">
        <v>45205</v>
      </c>
      <c r="G95" s="23">
        <f t="shared" si="5"/>
        <v>949</v>
      </c>
      <c r="H95" s="9" t="s">
        <v>171</v>
      </c>
      <c r="I95" s="311">
        <v>0</v>
      </c>
      <c r="J95" s="311">
        <v>1</v>
      </c>
      <c r="K95" s="310">
        <v>0</v>
      </c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X95" s="310">
        <v>0</v>
      </c>
      <c r="Y95" s="310"/>
      <c r="Z95" s="310"/>
      <c r="AA95" s="310"/>
      <c r="AB95" s="310"/>
      <c r="AC95" s="310"/>
      <c r="AD95" s="310"/>
      <c r="AE95" s="310"/>
      <c r="AF95" s="310"/>
      <c r="AG95" s="310"/>
      <c r="AH95" s="310"/>
    </row>
    <row r="96" spans="3:34" s="295" customFormat="1" ht="15.75" x14ac:dyDescent="0.25">
      <c r="C96" s="294" t="s">
        <v>189</v>
      </c>
      <c r="D96" s="22">
        <v>937504</v>
      </c>
      <c r="E96" s="273">
        <v>44258</v>
      </c>
      <c r="F96" s="273">
        <v>45084</v>
      </c>
      <c r="G96" s="23">
        <f t="shared" si="5"/>
        <v>826</v>
      </c>
      <c r="H96" s="9" t="s">
        <v>171</v>
      </c>
      <c r="I96" s="311" t="s">
        <v>172</v>
      </c>
      <c r="J96" s="311">
        <v>0</v>
      </c>
      <c r="K96" s="310" t="s">
        <v>172</v>
      </c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X96" s="310"/>
      <c r="Y96" s="310"/>
      <c r="Z96" s="310"/>
      <c r="AA96" s="310"/>
      <c r="AB96" s="310"/>
      <c r="AC96" s="310"/>
      <c r="AD96" s="310"/>
      <c r="AE96" s="310"/>
      <c r="AF96" s="310"/>
      <c r="AG96" s="310"/>
      <c r="AH96" s="310"/>
    </row>
    <row r="97" spans="3:34" s="295" customFormat="1" x14ac:dyDescent="0.25">
      <c r="C97" s="302" t="s">
        <v>235</v>
      </c>
      <c r="D97" s="57">
        <v>3508326</v>
      </c>
      <c r="E97" s="273">
        <v>44463</v>
      </c>
      <c r="F97" s="273">
        <v>45230</v>
      </c>
      <c r="G97" s="23">
        <f t="shared" si="5"/>
        <v>767</v>
      </c>
      <c r="H97" s="298" t="s">
        <v>171</v>
      </c>
      <c r="I97" s="311">
        <v>0</v>
      </c>
      <c r="J97" s="311">
        <v>1</v>
      </c>
      <c r="K97" s="79">
        <v>2</v>
      </c>
      <c r="L97" s="310"/>
      <c r="M97" s="310">
        <v>1</v>
      </c>
      <c r="N97" s="310">
        <v>2</v>
      </c>
      <c r="O97" s="310">
        <v>2</v>
      </c>
      <c r="P97" s="310"/>
      <c r="Q97" s="310"/>
      <c r="R97" s="310">
        <v>2</v>
      </c>
      <c r="S97" s="310"/>
      <c r="T97" s="310"/>
      <c r="U97" s="310"/>
      <c r="V97" s="310"/>
      <c r="W97" s="295" t="s">
        <v>236</v>
      </c>
      <c r="X97" s="79">
        <v>1</v>
      </c>
      <c r="Y97" s="310"/>
      <c r="Z97" s="310"/>
      <c r="AA97" s="310">
        <v>1</v>
      </c>
      <c r="AB97" s="310"/>
      <c r="AC97" s="310"/>
      <c r="AD97" s="310"/>
      <c r="AE97" s="310"/>
      <c r="AF97" s="310"/>
      <c r="AG97" s="310"/>
      <c r="AH97" s="310"/>
    </row>
    <row r="98" spans="3:34" s="295" customFormat="1" x14ac:dyDescent="0.25">
      <c r="C98" s="272" t="s">
        <v>93</v>
      </c>
      <c r="D98" s="272">
        <v>3654890</v>
      </c>
      <c r="E98" s="273">
        <v>44593</v>
      </c>
      <c r="F98" s="296">
        <v>45328</v>
      </c>
      <c r="G98" s="297">
        <f t="shared" si="5"/>
        <v>735</v>
      </c>
      <c r="H98" s="9" t="s">
        <v>242</v>
      </c>
      <c r="I98" s="310">
        <v>0</v>
      </c>
      <c r="J98" s="310">
        <v>1</v>
      </c>
      <c r="K98" s="310">
        <v>0</v>
      </c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X98" s="310">
        <v>0</v>
      </c>
      <c r="Y98" s="310"/>
      <c r="Z98" s="310"/>
      <c r="AA98" s="310"/>
      <c r="AB98" s="310"/>
      <c r="AC98" s="310"/>
      <c r="AD98" s="310"/>
      <c r="AE98" s="310"/>
      <c r="AF98" s="310"/>
      <c r="AG98" s="310"/>
      <c r="AH98" s="310"/>
    </row>
    <row r="99" spans="3:34" s="295" customFormat="1" x14ac:dyDescent="0.25">
      <c r="C99" s="50" t="s">
        <v>82</v>
      </c>
      <c r="D99" s="16">
        <v>5122359</v>
      </c>
      <c r="E99" s="273">
        <v>44557</v>
      </c>
      <c r="F99" s="296">
        <v>45489</v>
      </c>
      <c r="G99" s="297">
        <f t="shared" si="5"/>
        <v>932</v>
      </c>
      <c r="H99" s="9" t="s">
        <v>242</v>
      </c>
      <c r="I99" s="310">
        <v>0</v>
      </c>
      <c r="J99" s="310">
        <v>1</v>
      </c>
      <c r="K99" s="310">
        <v>0</v>
      </c>
      <c r="L99" s="310"/>
      <c r="M99" s="310"/>
      <c r="N99" s="310"/>
      <c r="O99" s="310"/>
      <c r="P99" s="310"/>
      <c r="Q99" s="310"/>
      <c r="R99" s="310"/>
      <c r="S99" s="310"/>
      <c r="T99" s="310">
        <v>1</v>
      </c>
      <c r="U99" s="310"/>
      <c r="V99" s="310"/>
      <c r="X99" s="310">
        <v>0</v>
      </c>
      <c r="Y99" s="310"/>
      <c r="Z99" s="310"/>
      <c r="AA99" s="310"/>
      <c r="AB99" s="310"/>
      <c r="AC99" s="310"/>
      <c r="AD99" s="310"/>
      <c r="AE99" s="310"/>
      <c r="AF99" s="310"/>
      <c r="AG99" s="310"/>
      <c r="AH99" s="310">
        <v>1</v>
      </c>
    </row>
    <row r="100" spans="3:34" s="295" customFormat="1" x14ac:dyDescent="0.25">
      <c r="C100" s="50" t="s">
        <v>214</v>
      </c>
      <c r="D100" s="51">
        <v>824495</v>
      </c>
      <c r="E100" s="273">
        <v>44361</v>
      </c>
      <c r="F100" s="273">
        <v>45097</v>
      </c>
      <c r="G100" s="23">
        <f t="shared" si="5"/>
        <v>736</v>
      </c>
      <c r="H100" s="16" t="s">
        <v>171</v>
      </c>
      <c r="I100" s="311">
        <v>0</v>
      </c>
      <c r="J100" s="311">
        <v>1</v>
      </c>
      <c r="K100" s="79">
        <v>2</v>
      </c>
      <c r="L100" s="79"/>
      <c r="M100" s="79"/>
      <c r="N100" s="79">
        <v>1</v>
      </c>
      <c r="O100" s="79"/>
      <c r="P100" s="79">
        <v>2</v>
      </c>
      <c r="Q100" s="79"/>
      <c r="R100" s="79">
        <v>2</v>
      </c>
      <c r="S100" s="79"/>
      <c r="T100" s="79">
        <v>1</v>
      </c>
      <c r="U100" s="79"/>
      <c r="V100" s="79"/>
      <c r="W100" s="272" t="s">
        <v>215</v>
      </c>
      <c r="X100" s="79">
        <v>0</v>
      </c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</row>
    <row r="101" spans="3:34" s="295" customFormat="1" x14ac:dyDescent="0.25">
      <c r="C101" s="274" t="s">
        <v>205</v>
      </c>
      <c r="D101" s="22">
        <v>6264080</v>
      </c>
      <c r="E101" s="273">
        <v>44326</v>
      </c>
      <c r="F101" s="273">
        <v>45251</v>
      </c>
      <c r="G101" s="23">
        <f t="shared" si="5"/>
        <v>925</v>
      </c>
      <c r="H101" s="23" t="s">
        <v>171</v>
      </c>
      <c r="I101" s="311">
        <v>0</v>
      </c>
      <c r="J101" s="311">
        <v>1</v>
      </c>
      <c r="K101" s="68">
        <v>2</v>
      </c>
      <c r="L101" s="310"/>
      <c r="M101" s="310"/>
      <c r="N101" s="310">
        <v>2</v>
      </c>
      <c r="O101" s="310"/>
      <c r="P101" s="310">
        <v>2</v>
      </c>
      <c r="Q101" s="310"/>
      <c r="R101" s="310"/>
      <c r="S101" s="310"/>
      <c r="T101" s="310">
        <v>1</v>
      </c>
      <c r="U101" s="310"/>
      <c r="V101" s="310"/>
      <c r="X101" s="310">
        <v>0</v>
      </c>
      <c r="Y101" s="310"/>
      <c r="Z101" s="310"/>
      <c r="AA101" s="310"/>
      <c r="AB101" s="310"/>
      <c r="AC101" s="310"/>
      <c r="AD101" s="310"/>
      <c r="AE101" s="310"/>
      <c r="AF101" s="310"/>
      <c r="AG101" s="310"/>
      <c r="AH101" s="310"/>
    </row>
    <row r="102" spans="3:34" s="295" customFormat="1" x14ac:dyDescent="0.25">
      <c r="C102" s="272" t="s">
        <v>131</v>
      </c>
      <c r="D102" s="272">
        <v>6756888</v>
      </c>
      <c r="E102" s="283">
        <v>44725</v>
      </c>
      <c r="F102" s="296">
        <v>45447</v>
      </c>
      <c r="G102" s="297">
        <f t="shared" si="5"/>
        <v>722</v>
      </c>
      <c r="H102" s="16" t="s">
        <v>242</v>
      </c>
      <c r="I102" s="310">
        <v>0</v>
      </c>
      <c r="J102" s="310">
        <v>1</v>
      </c>
      <c r="K102" s="310">
        <v>1</v>
      </c>
      <c r="L102" s="310"/>
      <c r="M102" s="310"/>
      <c r="N102" s="310"/>
      <c r="O102" s="310">
        <v>1</v>
      </c>
      <c r="P102" s="310"/>
      <c r="Q102" s="310"/>
      <c r="R102" s="310"/>
      <c r="S102" s="310"/>
      <c r="T102" s="310"/>
      <c r="U102" s="310"/>
      <c r="V102" s="310"/>
      <c r="X102" s="310">
        <v>0</v>
      </c>
      <c r="Y102" s="310"/>
      <c r="Z102" s="310"/>
      <c r="AA102" s="310"/>
      <c r="AB102" s="310"/>
      <c r="AC102" s="310"/>
      <c r="AD102" s="310"/>
      <c r="AE102" s="310"/>
      <c r="AF102" s="310"/>
      <c r="AG102" s="310"/>
      <c r="AH102" s="310"/>
    </row>
    <row r="103" spans="3:34" s="295" customFormat="1" x14ac:dyDescent="0.25">
      <c r="C103" s="272" t="s">
        <v>169</v>
      </c>
      <c r="D103" s="272">
        <v>6229308</v>
      </c>
      <c r="E103" s="300">
        <v>44651</v>
      </c>
      <c r="F103" s="300">
        <v>45330</v>
      </c>
      <c r="G103" s="301">
        <f>(F103-E103)</f>
        <v>679</v>
      </c>
      <c r="H103" s="295" t="s">
        <v>171</v>
      </c>
      <c r="I103" s="310">
        <v>1</v>
      </c>
      <c r="J103" s="310">
        <v>1</v>
      </c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295" t="s">
        <v>170</v>
      </c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</row>
    <row r="104" spans="3:34" s="295" customFormat="1" x14ac:dyDescent="0.25">
      <c r="C104" s="275" t="s">
        <v>284</v>
      </c>
      <c r="D104" s="48">
        <v>6523443</v>
      </c>
      <c r="E104" s="279">
        <v>44372</v>
      </c>
      <c r="F104" s="279">
        <v>45131</v>
      </c>
      <c r="G104" s="23">
        <f t="shared" ref="G104:G111" si="6">F104-E104</f>
        <v>759</v>
      </c>
      <c r="H104" s="16" t="s">
        <v>242</v>
      </c>
      <c r="I104" s="311">
        <v>0</v>
      </c>
      <c r="J104" s="311">
        <v>1</v>
      </c>
      <c r="K104" s="79">
        <v>0</v>
      </c>
      <c r="L104" s="79"/>
      <c r="M104" s="79"/>
      <c r="N104" s="79">
        <v>0</v>
      </c>
      <c r="O104" s="79"/>
      <c r="P104" s="79"/>
      <c r="Q104" s="79"/>
      <c r="R104" s="79"/>
      <c r="S104" s="79"/>
      <c r="T104" s="79"/>
      <c r="U104" s="79"/>
      <c r="V104" s="79"/>
      <c r="W104" s="272"/>
      <c r="X104" s="79">
        <v>0</v>
      </c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spans="3:34" s="295" customFormat="1" x14ac:dyDescent="0.25">
      <c r="C105" s="282" t="s">
        <v>204</v>
      </c>
      <c r="D105" s="22">
        <v>3725958</v>
      </c>
      <c r="E105" s="273">
        <v>44305</v>
      </c>
      <c r="F105" s="273">
        <v>45266</v>
      </c>
      <c r="G105" s="23">
        <f t="shared" si="6"/>
        <v>961</v>
      </c>
      <c r="H105" s="9" t="s">
        <v>171</v>
      </c>
      <c r="I105" s="311">
        <v>0</v>
      </c>
      <c r="J105" s="311">
        <v>1</v>
      </c>
      <c r="K105" s="78">
        <v>0</v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216"/>
      <c r="X105" s="78">
        <v>0</v>
      </c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spans="3:34" s="295" customFormat="1" x14ac:dyDescent="0.25">
      <c r="C106" s="282" t="s">
        <v>228</v>
      </c>
      <c r="D106" s="46">
        <v>5119987</v>
      </c>
      <c r="E106" s="273">
        <v>44467</v>
      </c>
      <c r="F106" s="273">
        <v>45258</v>
      </c>
      <c r="G106" s="23">
        <f t="shared" si="6"/>
        <v>791</v>
      </c>
      <c r="H106" s="9" t="s">
        <v>171</v>
      </c>
      <c r="I106" s="311">
        <v>0</v>
      </c>
      <c r="J106" s="311">
        <v>1</v>
      </c>
      <c r="K106" s="78">
        <v>1</v>
      </c>
      <c r="L106" s="78"/>
      <c r="M106" s="78"/>
      <c r="N106" s="78"/>
      <c r="O106" s="78"/>
      <c r="P106" s="78"/>
      <c r="Q106" s="78"/>
      <c r="R106" s="78">
        <v>1</v>
      </c>
      <c r="S106" s="78"/>
      <c r="T106" s="78"/>
      <c r="U106" s="78"/>
      <c r="V106" s="78"/>
      <c r="W106" s="216"/>
      <c r="X106" s="78">
        <v>0</v>
      </c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spans="3:34" s="295" customFormat="1" x14ac:dyDescent="0.25">
      <c r="C107" s="50" t="s">
        <v>53</v>
      </c>
      <c r="D107" s="16">
        <v>327692</v>
      </c>
      <c r="E107" s="273">
        <v>44452</v>
      </c>
      <c r="F107" s="296">
        <v>45215</v>
      </c>
      <c r="G107" s="297">
        <f t="shared" si="6"/>
        <v>763</v>
      </c>
      <c r="H107" s="9" t="s">
        <v>171</v>
      </c>
      <c r="I107" s="310">
        <v>0</v>
      </c>
      <c r="J107" s="310">
        <v>1</v>
      </c>
      <c r="K107" s="310">
        <v>1</v>
      </c>
      <c r="L107" s="310"/>
      <c r="M107" s="310"/>
      <c r="N107" s="310">
        <v>1</v>
      </c>
      <c r="O107" s="310"/>
      <c r="P107" s="310"/>
      <c r="Q107" s="310"/>
      <c r="R107" s="310"/>
      <c r="S107" s="310"/>
      <c r="T107" s="310">
        <v>1</v>
      </c>
      <c r="U107" s="310"/>
      <c r="V107" s="310"/>
      <c r="X107" s="310">
        <v>0</v>
      </c>
      <c r="Y107" s="310"/>
      <c r="Z107" s="310"/>
      <c r="AA107" s="310"/>
      <c r="AB107" s="310"/>
      <c r="AC107" s="310"/>
      <c r="AD107" s="310"/>
      <c r="AE107" s="310"/>
      <c r="AF107" s="310"/>
      <c r="AG107" s="310">
        <v>1</v>
      </c>
      <c r="AH107" s="310">
        <v>2</v>
      </c>
    </row>
    <row r="108" spans="3:34" s="295" customFormat="1" x14ac:dyDescent="0.25">
      <c r="C108" s="276" t="s">
        <v>178</v>
      </c>
      <c r="D108" s="22">
        <v>5400722</v>
      </c>
      <c r="E108" s="273">
        <v>44168</v>
      </c>
      <c r="F108" s="273">
        <v>45132</v>
      </c>
      <c r="G108" s="23">
        <f t="shared" si="6"/>
        <v>964</v>
      </c>
      <c r="H108" s="9" t="s">
        <v>171</v>
      </c>
      <c r="I108" s="311">
        <v>0</v>
      </c>
      <c r="J108" s="311">
        <v>1</v>
      </c>
      <c r="K108" s="310">
        <v>2</v>
      </c>
      <c r="L108" s="310"/>
      <c r="M108" s="310"/>
      <c r="N108" s="310">
        <v>1</v>
      </c>
      <c r="O108" s="310"/>
      <c r="P108" s="310"/>
      <c r="Q108" s="310"/>
      <c r="R108" s="310"/>
      <c r="S108" s="310"/>
      <c r="T108" s="310"/>
      <c r="U108" s="310"/>
      <c r="V108" s="310"/>
      <c r="W108" s="295" t="s">
        <v>179</v>
      </c>
      <c r="X108" s="310">
        <v>0</v>
      </c>
      <c r="Y108" s="310"/>
      <c r="Z108" s="310"/>
      <c r="AA108" s="310"/>
      <c r="AB108" s="310"/>
      <c r="AC108" s="310"/>
      <c r="AD108" s="310"/>
      <c r="AE108" s="310"/>
      <c r="AF108" s="310"/>
      <c r="AG108" s="310"/>
      <c r="AH108" s="310"/>
    </row>
    <row r="109" spans="3:34" s="295" customFormat="1" x14ac:dyDescent="0.25">
      <c r="C109" s="21" t="s">
        <v>174</v>
      </c>
      <c r="D109" s="284">
        <v>873673</v>
      </c>
      <c r="E109" s="273">
        <v>44158</v>
      </c>
      <c r="F109" s="273">
        <v>45266</v>
      </c>
      <c r="G109" s="23">
        <f t="shared" si="6"/>
        <v>1108</v>
      </c>
      <c r="H109" s="9" t="s">
        <v>171</v>
      </c>
      <c r="I109" s="311">
        <v>0</v>
      </c>
      <c r="J109" s="311">
        <v>1</v>
      </c>
      <c r="K109" s="310">
        <v>2</v>
      </c>
      <c r="L109" s="310"/>
      <c r="M109" s="310"/>
      <c r="N109" s="310">
        <v>2</v>
      </c>
      <c r="O109" s="310"/>
      <c r="P109" s="310"/>
      <c r="Q109" s="310"/>
      <c r="R109" s="310">
        <v>2</v>
      </c>
      <c r="S109" s="310"/>
      <c r="T109" s="310"/>
      <c r="U109" s="310"/>
      <c r="V109" s="310"/>
      <c r="X109" s="310">
        <v>0</v>
      </c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</row>
    <row r="110" spans="3:34" s="295" customFormat="1" x14ac:dyDescent="0.25">
      <c r="C110" s="272" t="s">
        <v>130</v>
      </c>
      <c r="D110" s="272">
        <v>6744097</v>
      </c>
      <c r="E110" s="273">
        <v>44705</v>
      </c>
      <c r="F110" s="296">
        <v>45468</v>
      </c>
      <c r="G110" s="297">
        <f t="shared" si="6"/>
        <v>763</v>
      </c>
      <c r="H110" s="9" t="s">
        <v>242</v>
      </c>
      <c r="I110" s="310">
        <v>0</v>
      </c>
      <c r="J110" s="310">
        <v>1</v>
      </c>
      <c r="K110" s="310">
        <v>0</v>
      </c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X110" s="310">
        <v>0</v>
      </c>
      <c r="Y110" s="310"/>
      <c r="Z110" s="310"/>
      <c r="AA110" s="310"/>
      <c r="AB110" s="310"/>
      <c r="AC110" s="310"/>
      <c r="AD110" s="310"/>
      <c r="AE110" s="310"/>
      <c r="AF110" s="310"/>
      <c r="AG110" s="310"/>
      <c r="AH110" s="310">
        <v>2</v>
      </c>
    </row>
    <row r="111" spans="3:34" s="295" customFormat="1" x14ac:dyDescent="0.25">
      <c r="C111" s="295" t="s">
        <v>282</v>
      </c>
      <c r="D111" s="297">
        <v>3711750</v>
      </c>
      <c r="E111" s="279">
        <v>44412</v>
      </c>
      <c r="F111" s="279">
        <v>44993</v>
      </c>
      <c r="G111" s="23">
        <f t="shared" si="6"/>
        <v>581</v>
      </c>
      <c r="H111" s="298" t="s">
        <v>242</v>
      </c>
      <c r="I111" s="315">
        <v>1</v>
      </c>
      <c r="J111" s="311">
        <v>1</v>
      </c>
      <c r="K111" s="310">
        <v>0</v>
      </c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X111" s="310">
        <v>0</v>
      </c>
      <c r="Y111" s="310"/>
      <c r="Z111" s="310"/>
      <c r="AA111" s="310"/>
      <c r="AB111" s="310"/>
      <c r="AC111" s="310"/>
      <c r="AD111" s="310"/>
      <c r="AE111" s="310"/>
      <c r="AF111" s="310"/>
      <c r="AG111" s="310"/>
      <c r="AH111" s="310"/>
    </row>
    <row r="112" spans="3:34" s="295" customFormat="1" x14ac:dyDescent="0.25">
      <c r="C112" s="52" t="s">
        <v>142</v>
      </c>
      <c r="D112" s="136" t="s">
        <v>143</v>
      </c>
      <c r="E112" s="300">
        <v>44166</v>
      </c>
      <c r="F112" s="300">
        <v>45301</v>
      </c>
      <c r="G112" s="301">
        <f>(F112-E112)</f>
        <v>1135</v>
      </c>
      <c r="H112" s="295" t="s">
        <v>171</v>
      </c>
      <c r="I112" s="310">
        <v>0</v>
      </c>
      <c r="J112" s="310">
        <v>1</v>
      </c>
      <c r="K112" s="310">
        <v>1</v>
      </c>
      <c r="L112" s="310"/>
      <c r="M112" s="310"/>
      <c r="N112" s="310">
        <v>1</v>
      </c>
      <c r="O112" s="310"/>
      <c r="P112" s="310">
        <v>1</v>
      </c>
      <c r="Q112" s="310"/>
      <c r="R112" s="310"/>
      <c r="S112" s="310"/>
      <c r="T112" s="310">
        <v>1</v>
      </c>
      <c r="U112" s="310"/>
      <c r="V112" s="310"/>
      <c r="X112" s="310">
        <v>1</v>
      </c>
      <c r="Y112" s="310"/>
      <c r="Z112" s="310">
        <v>1</v>
      </c>
      <c r="AA112" s="310"/>
      <c r="AB112" s="310"/>
      <c r="AC112" s="310"/>
      <c r="AD112" s="310"/>
      <c r="AE112" s="310"/>
      <c r="AF112" s="310"/>
      <c r="AG112" s="310"/>
      <c r="AH112" s="310"/>
    </row>
    <row r="113" spans="3:34" s="295" customFormat="1" x14ac:dyDescent="0.25">
      <c r="C113" s="50" t="s">
        <v>289</v>
      </c>
      <c r="D113" s="54">
        <v>5868912</v>
      </c>
      <c r="E113" s="279">
        <v>44441</v>
      </c>
      <c r="F113" s="279">
        <v>45198</v>
      </c>
      <c r="G113" s="23">
        <f t="shared" ref="G113:G122" si="7">F113-E113</f>
        <v>757</v>
      </c>
      <c r="H113" s="16" t="s">
        <v>242</v>
      </c>
      <c r="I113" s="311">
        <v>0</v>
      </c>
      <c r="J113" s="311">
        <v>1</v>
      </c>
      <c r="K113" s="79">
        <v>0</v>
      </c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272"/>
      <c r="X113" s="79">
        <v>0</v>
      </c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</row>
    <row r="114" spans="3:34" s="295" customFormat="1" x14ac:dyDescent="0.25">
      <c r="C114" s="39" t="s">
        <v>197</v>
      </c>
      <c r="D114" s="297">
        <v>1007203</v>
      </c>
      <c r="E114" s="273">
        <v>44300</v>
      </c>
      <c r="F114" s="273">
        <v>45201</v>
      </c>
      <c r="G114" s="23">
        <f t="shared" si="7"/>
        <v>901</v>
      </c>
      <c r="H114" s="298" t="s">
        <v>171</v>
      </c>
      <c r="I114" s="311">
        <v>0</v>
      </c>
      <c r="J114" s="311">
        <v>1</v>
      </c>
      <c r="K114" s="310">
        <v>0</v>
      </c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X114" s="310">
        <v>0</v>
      </c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0"/>
    </row>
    <row r="115" spans="3:34" s="295" customFormat="1" x14ac:dyDescent="0.25">
      <c r="C115" s="52" t="s">
        <v>54</v>
      </c>
      <c r="D115" s="16">
        <v>6551189</v>
      </c>
      <c r="E115" s="273">
        <v>44489</v>
      </c>
      <c r="F115" s="296">
        <v>45429</v>
      </c>
      <c r="G115" s="297">
        <f t="shared" si="7"/>
        <v>940</v>
      </c>
      <c r="H115" s="9" t="s">
        <v>171</v>
      </c>
      <c r="I115" s="310">
        <v>0</v>
      </c>
      <c r="J115" s="310">
        <v>1</v>
      </c>
      <c r="K115" s="310">
        <v>1</v>
      </c>
      <c r="L115" s="310"/>
      <c r="M115" s="310"/>
      <c r="N115" s="310"/>
      <c r="O115" s="310">
        <v>1</v>
      </c>
      <c r="P115" s="310"/>
      <c r="Q115" s="310"/>
      <c r="R115" s="310"/>
      <c r="S115" s="310"/>
      <c r="T115" s="310"/>
      <c r="U115" s="310"/>
      <c r="V115" s="310"/>
      <c r="X115" s="310">
        <v>0</v>
      </c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>
        <v>1</v>
      </c>
    </row>
    <row r="116" spans="3:34" s="295" customFormat="1" x14ac:dyDescent="0.25">
      <c r="C116" s="272" t="s">
        <v>133</v>
      </c>
      <c r="D116" s="272">
        <v>1220793</v>
      </c>
      <c r="E116" s="273">
        <v>44743</v>
      </c>
      <c r="F116" s="296">
        <v>45483</v>
      </c>
      <c r="G116" s="297">
        <f t="shared" si="7"/>
        <v>740</v>
      </c>
      <c r="H116" s="9" t="s">
        <v>242</v>
      </c>
      <c r="I116" s="310">
        <v>0</v>
      </c>
      <c r="J116" s="310">
        <v>1</v>
      </c>
      <c r="K116" s="310">
        <v>1</v>
      </c>
      <c r="L116" s="310"/>
      <c r="M116" s="310"/>
      <c r="N116" s="310"/>
      <c r="O116" s="310"/>
      <c r="P116" s="310"/>
      <c r="Q116" s="310"/>
      <c r="R116" s="310"/>
      <c r="S116" s="310"/>
      <c r="T116" s="310">
        <v>1</v>
      </c>
      <c r="U116" s="310"/>
      <c r="V116" s="310"/>
      <c r="X116" s="310">
        <v>0</v>
      </c>
      <c r="Y116" s="310"/>
      <c r="Z116" s="310"/>
      <c r="AA116" s="310"/>
      <c r="AB116" s="310"/>
      <c r="AC116" s="310"/>
      <c r="AD116" s="310"/>
      <c r="AE116" s="310"/>
      <c r="AF116" s="310"/>
      <c r="AG116" s="310"/>
      <c r="AH116" s="310"/>
    </row>
    <row r="117" spans="3:34" s="295" customFormat="1" x14ac:dyDescent="0.25">
      <c r="C117" s="304" t="s">
        <v>194</v>
      </c>
      <c r="D117" s="57">
        <v>2797309</v>
      </c>
      <c r="E117" s="273">
        <v>44291</v>
      </c>
      <c r="F117" s="273">
        <v>45266</v>
      </c>
      <c r="G117" s="23">
        <f t="shared" si="7"/>
        <v>975</v>
      </c>
      <c r="H117" s="9" t="s">
        <v>171</v>
      </c>
      <c r="I117" s="311">
        <v>0</v>
      </c>
      <c r="J117" s="311">
        <v>1</v>
      </c>
      <c r="K117" s="310">
        <v>0</v>
      </c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X117" s="310">
        <v>0</v>
      </c>
      <c r="Y117" s="310"/>
      <c r="Z117" s="310"/>
      <c r="AA117" s="310"/>
      <c r="AB117" s="310"/>
      <c r="AC117" s="310"/>
      <c r="AD117" s="310"/>
      <c r="AE117" s="310"/>
      <c r="AF117" s="310"/>
      <c r="AG117" s="310"/>
      <c r="AH117" s="310"/>
    </row>
    <row r="118" spans="3:34" s="295" customFormat="1" x14ac:dyDescent="0.25">
      <c r="C118" s="276" t="s">
        <v>251</v>
      </c>
      <c r="D118" s="22">
        <v>6334432</v>
      </c>
      <c r="E118" s="279">
        <v>44183</v>
      </c>
      <c r="F118" s="279">
        <v>45166</v>
      </c>
      <c r="G118" s="23">
        <f t="shared" si="7"/>
        <v>983</v>
      </c>
      <c r="H118" s="9" t="s">
        <v>242</v>
      </c>
      <c r="I118" s="311">
        <v>0</v>
      </c>
      <c r="J118" s="311">
        <v>1</v>
      </c>
      <c r="K118" s="310">
        <v>0</v>
      </c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X118" s="310">
        <v>0</v>
      </c>
      <c r="Y118" s="310"/>
      <c r="Z118" s="310"/>
      <c r="AA118" s="310"/>
      <c r="AB118" s="310"/>
      <c r="AC118" s="310"/>
      <c r="AD118" s="310"/>
      <c r="AE118" s="310"/>
      <c r="AF118" s="310"/>
      <c r="AG118" s="310"/>
      <c r="AH118" s="310"/>
    </row>
    <row r="119" spans="3:34" s="295" customFormat="1" x14ac:dyDescent="0.25">
      <c r="C119" s="272" t="s">
        <v>81</v>
      </c>
      <c r="D119" s="272">
        <v>3379916</v>
      </c>
      <c r="E119" s="273">
        <v>44589</v>
      </c>
      <c r="F119" s="296">
        <v>45328</v>
      </c>
      <c r="G119" s="297">
        <f t="shared" si="7"/>
        <v>739</v>
      </c>
      <c r="H119" s="9" t="s">
        <v>242</v>
      </c>
      <c r="I119" s="310">
        <v>0</v>
      </c>
      <c r="J119" s="310">
        <v>1</v>
      </c>
      <c r="K119" s="310">
        <v>0</v>
      </c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X119" s="310">
        <v>0</v>
      </c>
      <c r="Y119" s="310"/>
      <c r="Z119" s="310"/>
      <c r="AA119" s="310"/>
      <c r="AB119" s="310"/>
      <c r="AC119" s="310"/>
      <c r="AD119" s="310"/>
      <c r="AE119" s="310"/>
      <c r="AF119" s="310"/>
      <c r="AG119" s="310">
        <v>1</v>
      </c>
      <c r="AH119" s="310">
        <v>2</v>
      </c>
    </row>
    <row r="120" spans="3:34" s="295" customFormat="1" x14ac:dyDescent="0.25">
      <c r="C120" s="50" t="s">
        <v>123</v>
      </c>
      <c r="D120" s="16">
        <v>6737247</v>
      </c>
      <c r="E120" s="273">
        <v>44683</v>
      </c>
      <c r="F120" s="296">
        <v>45440</v>
      </c>
      <c r="G120" s="297">
        <f t="shared" si="7"/>
        <v>757</v>
      </c>
      <c r="H120" s="9" t="s">
        <v>242</v>
      </c>
      <c r="I120" s="310">
        <v>0</v>
      </c>
      <c r="J120" s="310">
        <v>1</v>
      </c>
      <c r="K120" s="310">
        <v>1</v>
      </c>
      <c r="L120" s="310"/>
      <c r="M120" s="310">
        <v>1</v>
      </c>
      <c r="N120" s="310">
        <v>1</v>
      </c>
      <c r="O120" s="310"/>
      <c r="P120" s="310"/>
      <c r="Q120" s="310"/>
      <c r="R120" s="310"/>
      <c r="S120" s="310"/>
      <c r="T120" s="310">
        <v>1</v>
      </c>
      <c r="U120" s="310"/>
      <c r="V120" s="310"/>
      <c r="X120" s="310">
        <v>0</v>
      </c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>
        <v>1</v>
      </c>
    </row>
    <row r="121" spans="3:34" s="295" customFormat="1" x14ac:dyDescent="0.25">
      <c r="C121" s="50" t="s">
        <v>230</v>
      </c>
      <c r="D121" s="51">
        <v>2546984</v>
      </c>
      <c r="E121" s="273">
        <v>44414</v>
      </c>
      <c r="F121" s="273">
        <v>45146</v>
      </c>
      <c r="G121" s="23">
        <f t="shared" si="7"/>
        <v>732</v>
      </c>
      <c r="H121" s="16" t="s">
        <v>171</v>
      </c>
      <c r="I121" s="311">
        <v>0</v>
      </c>
      <c r="J121" s="311">
        <v>1</v>
      </c>
      <c r="K121" s="79">
        <v>2</v>
      </c>
      <c r="L121" s="79"/>
      <c r="M121" s="79"/>
      <c r="N121" s="79">
        <v>2</v>
      </c>
      <c r="O121" s="79">
        <v>1</v>
      </c>
      <c r="P121" s="79"/>
      <c r="Q121" s="79"/>
      <c r="R121" s="79">
        <v>1</v>
      </c>
      <c r="S121" s="79"/>
      <c r="T121" s="79"/>
      <c r="U121" s="79"/>
      <c r="V121" s="79"/>
      <c r="W121" s="272" t="s">
        <v>231</v>
      </c>
      <c r="X121" s="79">
        <v>1</v>
      </c>
      <c r="Y121" s="79"/>
      <c r="Z121" s="79"/>
      <c r="AA121" s="79">
        <v>1</v>
      </c>
      <c r="AB121" s="79"/>
      <c r="AC121" s="79"/>
      <c r="AD121" s="79"/>
      <c r="AE121" s="79"/>
      <c r="AF121" s="79" t="s">
        <v>232</v>
      </c>
      <c r="AG121" s="79"/>
      <c r="AH121" s="79"/>
    </row>
    <row r="122" spans="3:34" s="295" customFormat="1" x14ac:dyDescent="0.25">
      <c r="C122" s="285" t="s">
        <v>208</v>
      </c>
      <c r="D122" s="22">
        <v>4176512</v>
      </c>
      <c r="E122" s="273">
        <v>44329</v>
      </c>
      <c r="F122" s="273">
        <v>45265</v>
      </c>
      <c r="G122" s="23">
        <f t="shared" si="7"/>
        <v>936</v>
      </c>
      <c r="H122" s="295" t="s">
        <v>171</v>
      </c>
      <c r="I122" s="311">
        <v>0</v>
      </c>
      <c r="J122" s="311">
        <v>1</v>
      </c>
      <c r="K122" s="310">
        <v>1</v>
      </c>
      <c r="L122" s="310"/>
      <c r="M122" s="310"/>
      <c r="N122" s="310"/>
      <c r="O122" s="310"/>
      <c r="P122" s="310"/>
      <c r="Q122" s="310"/>
      <c r="R122" s="310">
        <v>1</v>
      </c>
      <c r="S122" s="310"/>
      <c r="T122" s="310"/>
      <c r="U122" s="310"/>
      <c r="V122" s="310"/>
      <c r="X122" s="310">
        <v>1</v>
      </c>
      <c r="Y122" s="310"/>
      <c r="Z122" s="310"/>
      <c r="AA122" s="310">
        <v>1</v>
      </c>
      <c r="AB122" s="310"/>
      <c r="AC122" s="310">
        <v>1</v>
      </c>
      <c r="AD122" s="310">
        <v>1</v>
      </c>
      <c r="AE122" s="310"/>
      <c r="AF122" s="310" t="s">
        <v>209</v>
      </c>
      <c r="AG122" s="310"/>
      <c r="AH122" s="310"/>
    </row>
    <row r="123" spans="3:34" s="295" customFormat="1" x14ac:dyDescent="0.25">
      <c r="C123" s="272" t="s">
        <v>158</v>
      </c>
      <c r="D123" s="272">
        <v>6264367</v>
      </c>
      <c r="E123" s="300">
        <v>44482</v>
      </c>
      <c r="F123" s="300">
        <v>45266</v>
      </c>
      <c r="G123" s="301">
        <f>(F123-E123)</f>
        <v>784</v>
      </c>
      <c r="H123" s="295" t="s">
        <v>242</v>
      </c>
      <c r="I123" s="310">
        <v>0</v>
      </c>
      <c r="J123" s="310">
        <v>1</v>
      </c>
      <c r="K123" s="310">
        <v>1</v>
      </c>
      <c r="L123" s="310"/>
      <c r="M123" s="310">
        <v>1</v>
      </c>
      <c r="N123" s="310"/>
      <c r="O123" s="310"/>
      <c r="P123" s="310"/>
      <c r="Q123" s="310"/>
      <c r="R123" s="310"/>
      <c r="S123" s="310"/>
      <c r="T123" s="310">
        <v>1</v>
      </c>
      <c r="U123" s="310"/>
      <c r="V123" s="310"/>
      <c r="X123" s="310">
        <v>0</v>
      </c>
      <c r="Y123" s="310"/>
      <c r="Z123" s="310"/>
      <c r="AA123" s="310"/>
      <c r="AB123" s="310"/>
      <c r="AC123" s="310"/>
      <c r="AD123" s="310"/>
      <c r="AE123" s="310"/>
      <c r="AF123" s="310"/>
      <c r="AG123" s="310">
        <v>1</v>
      </c>
      <c r="AH123" s="310">
        <v>1</v>
      </c>
    </row>
    <row r="124" spans="3:34" s="295" customFormat="1" x14ac:dyDescent="0.25">
      <c r="C124" s="299" t="s">
        <v>139</v>
      </c>
      <c r="D124" s="304" t="s">
        <v>140</v>
      </c>
      <c r="E124" s="300">
        <v>44175</v>
      </c>
      <c r="F124" s="300">
        <v>45308</v>
      </c>
      <c r="G124" s="301">
        <f>(F124-E124)</f>
        <v>1133</v>
      </c>
      <c r="H124" s="295" t="s">
        <v>171</v>
      </c>
      <c r="I124" s="310">
        <v>0</v>
      </c>
      <c r="J124" s="310">
        <v>1</v>
      </c>
      <c r="K124" s="310">
        <v>1</v>
      </c>
      <c r="L124" s="310"/>
      <c r="M124" s="310"/>
      <c r="N124" s="310"/>
      <c r="O124" s="310"/>
      <c r="P124" s="310"/>
      <c r="Q124" s="310"/>
      <c r="R124" s="310">
        <v>1</v>
      </c>
      <c r="S124" s="310"/>
      <c r="T124" s="310"/>
      <c r="U124" s="310"/>
      <c r="V124" s="310"/>
      <c r="X124" s="310">
        <v>1</v>
      </c>
      <c r="Y124" s="310"/>
      <c r="Z124" s="310">
        <v>1</v>
      </c>
      <c r="AA124" s="310"/>
      <c r="AB124" s="310"/>
      <c r="AC124" s="310"/>
      <c r="AD124" s="310"/>
      <c r="AE124" s="310"/>
      <c r="AF124" s="310"/>
      <c r="AG124" s="310"/>
      <c r="AH124" s="310"/>
    </row>
    <row r="125" spans="3:34" s="295" customFormat="1" x14ac:dyDescent="0.25">
      <c r="C125" s="272" t="s">
        <v>116</v>
      </c>
      <c r="D125" s="272">
        <v>1508796</v>
      </c>
      <c r="E125" s="273">
        <v>44778</v>
      </c>
      <c r="F125" s="296">
        <v>45359</v>
      </c>
      <c r="G125" s="297">
        <f t="shared" ref="G125:G132" si="8">F125-E125</f>
        <v>581</v>
      </c>
      <c r="H125" s="9" t="s">
        <v>242</v>
      </c>
      <c r="I125" s="310">
        <v>1</v>
      </c>
      <c r="J125" s="310">
        <v>1</v>
      </c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X125" s="310"/>
      <c r="Y125" s="310"/>
      <c r="Z125" s="310"/>
      <c r="AA125" s="310"/>
      <c r="AB125" s="310"/>
      <c r="AC125" s="310"/>
      <c r="AD125" s="310"/>
      <c r="AE125" s="310"/>
      <c r="AF125" s="310"/>
      <c r="AG125" s="310"/>
      <c r="AH125" s="310"/>
    </row>
    <row r="126" spans="3:34" s="295" customFormat="1" x14ac:dyDescent="0.25">
      <c r="C126" s="295" t="s">
        <v>275</v>
      </c>
      <c r="D126" s="295">
        <v>6497371</v>
      </c>
      <c r="E126" s="279">
        <v>44354</v>
      </c>
      <c r="F126" s="279">
        <v>45273</v>
      </c>
      <c r="G126" s="23">
        <f t="shared" si="8"/>
        <v>919</v>
      </c>
      <c r="H126" s="298" t="s">
        <v>242</v>
      </c>
      <c r="I126" s="311">
        <v>0</v>
      </c>
      <c r="J126" s="311">
        <v>1</v>
      </c>
      <c r="K126" s="78">
        <v>0</v>
      </c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X126" s="78">
        <v>0</v>
      </c>
      <c r="Y126" s="310"/>
      <c r="Z126" s="310"/>
      <c r="AA126" s="310"/>
      <c r="AB126" s="310"/>
      <c r="AC126" s="310"/>
      <c r="AD126" s="310"/>
      <c r="AE126" s="310"/>
      <c r="AF126" s="310"/>
      <c r="AG126" s="310"/>
      <c r="AH126" s="310"/>
    </row>
    <row r="127" spans="3:34" s="295" customFormat="1" x14ac:dyDescent="0.25">
      <c r="C127" s="50" t="s">
        <v>92</v>
      </c>
      <c r="D127" s="16">
        <v>6185167</v>
      </c>
      <c r="E127" s="273">
        <v>44593</v>
      </c>
      <c r="F127" s="296">
        <v>45398</v>
      </c>
      <c r="G127" s="297">
        <f t="shared" si="8"/>
        <v>805</v>
      </c>
      <c r="H127" s="9" t="s">
        <v>242</v>
      </c>
      <c r="I127" s="310">
        <v>0</v>
      </c>
      <c r="J127" s="310">
        <v>1</v>
      </c>
      <c r="K127" s="310">
        <v>1</v>
      </c>
      <c r="L127" s="310"/>
      <c r="M127" s="310"/>
      <c r="N127" s="310"/>
      <c r="O127" s="310">
        <v>0</v>
      </c>
      <c r="P127" s="310"/>
      <c r="Q127" s="310"/>
      <c r="R127" s="310">
        <v>1</v>
      </c>
      <c r="S127" s="310"/>
      <c r="T127" s="310">
        <v>0</v>
      </c>
      <c r="U127" s="310"/>
      <c r="V127" s="310"/>
      <c r="X127" s="310">
        <v>0</v>
      </c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0">
        <v>2</v>
      </c>
    </row>
    <row r="128" spans="3:34" s="295" customFormat="1" x14ac:dyDescent="0.25">
      <c r="C128" s="272" t="s">
        <v>90</v>
      </c>
      <c r="D128" s="272">
        <v>1321044</v>
      </c>
      <c r="E128" s="273">
        <v>44596</v>
      </c>
      <c r="F128" s="296">
        <v>45345</v>
      </c>
      <c r="G128" s="297">
        <f t="shared" si="8"/>
        <v>749</v>
      </c>
      <c r="H128" s="9" t="s">
        <v>242</v>
      </c>
      <c r="I128" s="310">
        <v>0</v>
      </c>
      <c r="J128" s="310">
        <v>1</v>
      </c>
      <c r="K128" s="310">
        <v>2</v>
      </c>
      <c r="L128" s="310"/>
      <c r="M128" s="310"/>
      <c r="N128" s="310"/>
      <c r="O128" s="310">
        <v>2</v>
      </c>
      <c r="P128" s="310"/>
      <c r="Q128" s="310"/>
      <c r="R128" s="310"/>
      <c r="S128" s="310"/>
      <c r="T128" s="310"/>
      <c r="U128" s="310"/>
      <c r="V128" s="310"/>
      <c r="X128" s="310">
        <v>0</v>
      </c>
      <c r="Y128" s="310"/>
      <c r="Z128" s="310"/>
      <c r="AA128" s="310"/>
      <c r="AB128" s="310"/>
      <c r="AC128" s="310"/>
      <c r="AD128" s="310"/>
      <c r="AE128" s="310"/>
      <c r="AF128" s="310"/>
      <c r="AG128" s="310"/>
      <c r="AH128" s="310">
        <v>2</v>
      </c>
    </row>
    <row r="129" spans="3:35" s="295" customFormat="1" x14ac:dyDescent="0.25">
      <c r="C129" s="272" t="s">
        <v>219</v>
      </c>
      <c r="D129" s="48">
        <v>6491856</v>
      </c>
      <c r="E129" s="273">
        <v>44438</v>
      </c>
      <c r="F129" s="273">
        <v>45209</v>
      </c>
      <c r="G129" s="23">
        <f t="shared" si="8"/>
        <v>771</v>
      </c>
      <c r="H129" s="16" t="s">
        <v>171</v>
      </c>
      <c r="I129" s="311">
        <v>0</v>
      </c>
      <c r="J129" s="311">
        <v>1</v>
      </c>
      <c r="K129" s="79">
        <v>2</v>
      </c>
      <c r="L129" s="79"/>
      <c r="M129" s="79"/>
      <c r="N129" s="79"/>
      <c r="O129" s="79"/>
      <c r="P129" s="79"/>
      <c r="Q129" s="79"/>
      <c r="R129" s="79">
        <v>2</v>
      </c>
      <c r="S129" s="79"/>
      <c r="T129" s="79"/>
      <c r="U129" s="79"/>
      <c r="V129" s="79"/>
      <c r="W129" s="272" t="s">
        <v>220</v>
      </c>
      <c r="X129" s="79">
        <v>0</v>
      </c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pans="3:35" s="295" customFormat="1" x14ac:dyDescent="0.25">
      <c r="C130" s="21" t="s">
        <v>186</v>
      </c>
      <c r="D130" s="22">
        <v>2513243</v>
      </c>
      <c r="E130" s="273">
        <v>44203</v>
      </c>
      <c r="F130" s="273">
        <v>45146</v>
      </c>
      <c r="G130" s="23">
        <f t="shared" si="8"/>
        <v>943</v>
      </c>
      <c r="H130" s="9" t="s">
        <v>171</v>
      </c>
      <c r="I130" s="311">
        <v>0</v>
      </c>
      <c r="J130" s="311">
        <v>1</v>
      </c>
      <c r="K130" s="310">
        <v>0</v>
      </c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X130" s="310">
        <v>0</v>
      </c>
      <c r="Y130" s="310"/>
      <c r="Z130" s="310"/>
      <c r="AA130" s="310"/>
      <c r="AB130" s="310"/>
      <c r="AC130" s="310"/>
      <c r="AD130" s="310"/>
      <c r="AE130" s="310"/>
      <c r="AF130" s="310"/>
      <c r="AG130" s="310"/>
      <c r="AH130" s="310"/>
    </row>
    <row r="131" spans="3:35" s="295" customFormat="1" x14ac:dyDescent="0.25">
      <c r="C131" s="272" t="s">
        <v>277</v>
      </c>
      <c r="D131" s="272">
        <v>4689605</v>
      </c>
      <c r="E131" s="279">
        <v>44362</v>
      </c>
      <c r="F131" s="279">
        <v>45140</v>
      </c>
      <c r="G131" s="23">
        <f t="shared" si="8"/>
        <v>778</v>
      </c>
      <c r="H131" s="16" t="s">
        <v>242</v>
      </c>
      <c r="I131" s="311">
        <v>0</v>
      </c>
      <c r="J131" s="311">
        <v>1</v>
      </c>
      <c r="K131" s="79">
        <v>0</v>
      </c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272" t="s">
        <v>278</v>
      </c>
      <c r="X131" s="79">
        <v>0</v>
      </c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</row>
    <row r="132" spans="3:35" s="295" customFormat="1" x14ac:dyDescent="0.25">
      <c r="C132" s="50" t="s">
        <v>66</v>
      </c>
      <c r="D132" s="16">
        <v>6606902</v>
      </c>
      <c r="E132" s="273">
        <v>44522</v>
      </c>
      <c r="F132" s="296">
        <v>45440</v>
      </c>
      <c r="G132" s="297">
        <f t="shared" si="8"/>
        <v>918</v>
      </c>
      <c r="H132" s="9" t="s">
        <v>242</v>
      </c>
      <c r="I132" s="310">
        <v>0</v>
      </c>
      <c r="J132" s="310">
        <v>1</v>
      </c>
      <c r="K132" s="310">
        <v>0</v>
      </c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X132" s="310">
        <v>0</v>
      </c>
      <c r="Y132" s="310"/>
      <c r="Z132" s="310"/>
      <c r="AA132" s="310"/>
      <c r="AB132" s="310"/>
      <c r="AC132" s="310"/>
      <c r="AD132" s="310"/>
      <c r="AE132" s="310"/>
      <c r="AF132" s="310"/>
      <c r="AG132" s="310"/>
      <c r="AH132" s="310"/>
    </row>
    <row r="133" spans="3:35" s="295" customFormat="1" x14ac:dyDescent="0.25">
      <c r="C133" s="50" t="s">
        <v>159</v>
      </c>
      <c r="D133" s="50" t="s">
        <v>160</v>
      </c>
      <c r="E133" s="300">
        <v>44529</v>
      </c>
      <c r="F133" s="300">
        <v>45485</v>
      </c>
      <c r="G133" s="301">
        <f>(F133-E133)</f>
        <v>956</v>
      </c>
      <c r="H133" s="295" t="s">
        <v>242</v>
      </c>
      <c r="I133" s="310">
        <v>0</v>
      </c>
      <c r="J133" s="310">
        <v>1</v>
      </c>
      <c r="K133" s="310">
        <v>1</v>
      </c>
      <c r="L133" s="310"/>
      <c r="M133" s="310"/>
      <c r="N133" s="310">
        <v>1</v>
      </c>
      <c r="O133" s="310"/>
      <c r="P133" s="310"/>
      <c r="Q133" s="310"/>
      <c r="R133" s="310">
        <v>1</v>
      </c>
      <c r="S133" s="310"/>
      <c r="T133" s="310"/>
      <c r="U133" s="310"/>
      <c r="V133" s="310"/>
      <c r="X133" s="310">
        <v>0</v>
      </c>
      <c r="Y133" s="310"/>
      <c r="Z133" s="310"/>
      <c r="AA133" s="310"/>
      <c r="AB133" s="310"/>
      <c r="AC133" s="310"/>
      <c r="AD133" s="310"/>
      <c r="AE133" s="310"/>
      <c r="AF133" s="310"/>
      <c r="AG133" s="310"/>
      <c r="AH133" s="310">
        <v>1</v>
      </c>
    </row>
    <row r="134" spans="3:35" s="295" customFormat="1" x14ac:dyDescent="0.25">
      <c r="C134" s="50" t="s">
        <v>110</v>
      </c>
      <c r="D134" s="16">
        <v>5877147</v>
      </c>
      <c r="E134" s="273">
        <v>44642</v>
      </c>
      <c r="F134" s="296">
        <v>45406</v>
      </c>
      <c r="G134" s="297">
        <f t="shared" ref="G134:G168" si="9">F134-E134</f>
        <v>764</v>
      </c>
      <c r="H134" s="9" t="s">
        <v>242</v>
      </c>
      <c r="I134" s="310">
        <v>0</v>
      </c>
      <c r="J134" s="310">
        <v>1</v>
      </c>
      <c r="K134" s="310">
        <v>0</v>
      </c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X134" s="310">
        <v>0</v>
      </c>
      <c r="Y134" s="310"/>
      <c r="Z134" s="310"/>
      <c r="AA134" s="310"/>
      <c r="AB134" s="310"/>
      <c r="AC134" s="310"/>
      <c r="AD134" s="310"/>
      <c r="AE134" s="310"/>
      <c r="AF134" s="310"/>
      <c r="AG134" s="310">
        <v>1</v>
      </c>
      <c r="AH134" s="310">
        <v>2</v>
      </c>
    </row>
    <row r="135" spans="3:35" s="295" customFormat="1" x14ac:dyDescent="0.25">
      <c r="C135" s="50" t="s">
        <v>113</v>
      </c>
      <c r="D135" s="16">
        <v>4080425</v>
      </c>
      <c r="E135" s="273">
        <v>44673</v>
      </c>
      <c r="F135" s="296">
        <v>45216</v>
      </c>
      <c r="G135" s="297">
        <f t="shared" si="9"/>
        <v>543</v>
      </c>
      <c r="H135" s="9" t="s">
        <v>242</v>
      </c>
      <c r="I135" s="310">
        <v>1</v>
      </c>
      <c r="J135" s="310">
        <v>1</v>
      </c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X135" s="310"/>
      <c r="Y135" s="310"/>
      <c r="Z135" s="310"/>
      <c r="AA135" s="310"/>
      <c r="AB135" s="310"/>
      <c r="AC135" s="310"/>
      <c r="AD135" s="310"/>
      <c r="AE135" s="310"/>
      <c r="AF135" s="310"/>
      <c r="AG135" s="310"/>
      <c r="AH135" s="310"/>
    </row>
    <row r="136" spans="3:35" s="295" customFormat="1" x14ac:dyDescent="0.25">
      <c r="C136" s="272" t="s">
        <v>122</v>
      </c>
      <c r="D136" s="272">
        <v>2223185</v>
      </c>
      <c r="E136" s="273">
        <v>44715</v>
      </c>
      <c r="F136" s="296">
        <v>44916</v>
      </c>
      <c r="G136" s="297">
        <f t="shared" si="9"/>
        <v>201</v>
      </c>
      <c r="H136" s="9" t="s">
        <v>242</v>
      </c>
      <c r="I136" s="310">
        <v>1</v>
      </c>
      <c r="J136" s="310">
        <v>1</v>
      </c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X136" s="310"/>
      <c r="Y136" s="310"/>
      <c r="Z136" s="310"/>
      <c r="AA136" s="310"/>
      <c r="AB136" s="310"/>
      <c r="AC136" s="310"/>
      <c r="AD136" s="310"/>
      <c r="AE136" s="310"/>
      <c r="AF136" s="310"/>
      <c r="AG136" s="310"/>
      <c r="AH136" s="310"/>
    </row>
    <row r="137" spans="3:35" s="295" customFormat="1" x14ac:dyDescent="0.25">
      <c r="C137" s="50" t="s">
        <v>114</v>
      </c>
      <c r="D137" s="16">
        <v>6722604</v>
      </c>
      <c r="E137" s="273">
        <v>44665</v>
      </c>
      <c r="F137" s="296">
        <v>45447</v>
      </c>
      <c r="G137" s="297">
        <f t="shared" si="9"/>
        <v>782</v>
      </c>
      <c r="H137" s="9" t="s">
        <v>242</v>
      </c>
      <c r="I137" s="310">
        <v>0</v>
      </c>
      <c r="J137" s="310">
        <v>1</v>
      </c>
      <c r="K137" s="310">
        <v>0</v>
      </c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X137" s="310">
        <v>0</v>
      </c>
      <c r="Y137" s="310"/>
      <c r="Z137" s="310"/>
      <c r="AA137" s="310"/>
      <c r="AB137" s="310"/>
      <c r="AC137" s="310"/>
      <c r="AD137" s="310"/>
      <c r="AE137" s="310"/>
      <c r="AF137" s="310"/>
      <c r="AG137" s="310"/>
      <c r="AH137" s="310"/>
    </row>
    <row r="138" spans="3:35" s="295" customFormat="1" x14ac:dyDescent="0.25">
      <c r="C138" s="276" t="s">
        <v>245</v>
      </c>
      <c r="D138" s="22">
        <v>5522060</v>
      </c>
      <c r="E138" s="279">
        <v>44250</v>
      </c>
      <c r="F138" s="279">
        <v>45154</v>
      </c>
      <c r="G138" s="23">
        <f t="shared" si="9"/>
        <v>904</v>
      </c>
      <c r="H138" s="9" t="s">
        <v>242</v>
      </c>
      <c r="I138" s="311">
        <v>0</v>
      </c>
      <c r="J138" s="311">
        <v>1</v>
      </c>
      <c r="K138" s="311">
        <v>2</v>
      </c>
      <c r="L138" s="310"/>
      <c r="M138" s="310"/>
      <c r="N138" s="310">
        <v>2</v>
      </c>
      <c r="O138" s="310"/>
      <c r="P138" s="310"/>
      <c r="Q138" s="310"/>
      <c r="R138" s="310">
        <v>1</v>
      </c>
      <c r="S138" s="310"/>
      <c r="T138" s="310"/>
      <c r="U138" s="310"/>
      <c r="V138" s="310"/>
      <c r="W138" s="295" t="s">
        <v>246</v>
      </c>
      <c r="X138" s="310">
        <v>0</v>
      </c>
      <c r="Y138" s="310"/>
      <c r="Z138" s="310"/>
      <c r="AA138" s="310"/>
      <c r="AB138" s="310"/>
      <c r="AC138" s="310"/>
      <c r="AD138" s="310"/>
      <c r="AE138" s="310"/>
      <c r="AF138" s="310"/>
      <c r="AG138" s="310"/>
      <c r="AH138" s="310"/>
    </row>
    <row r="139" spans="3:35" s="295" customFormat="1" x14ac:dyDescent="0.25">
      <c r="C139" s="309" t="s">
        <v>268</v>
      </c>
      <c r="D139" s="298">
        <v>5338778</v>
      </c>
      <c r="E139" s="279">
        <v>44285</v>
      </c>
      <c r="F139" s="279">
        <v>45205</v>
      </c>
      <c r="G139" s="23">
        <f t="shared" si="9"/>
        <v>920</v>
      </c>
      <c r="H139" s="298" t="s">
        <v>242</v>
      </c>
      <c r="I139" s="311">
        <v>0</v>
      </c>
      <c r="J139" s="311">
        <v>1</v>
      </c>
      <c r="K139" s="310">
        <v>0</v>
      </c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X139" s="310">
        <v>0</v>
      </c>
      <c r="Y139" s="310"/>
      <c r="Z139" s="310"/>
      <c r="AA139" s="310"/>
      <c r="AB139" s="310"/>
      <c r="AC139" s="310"/>
      <c r="AD139" s="310"/>
      <c r="AE139" s="310"/>
      <c r="AF139" s="310"/>
      <c r="AG139" s="310"/>
      <c r="AH139" s="310"/>
    </row>
    <row r="140" spans="3:35" s="295" customFormat="1" x14ac:dyDescent="0.25">
      <c r="C140" s="216" t="s">
        <v>238</v>
      </c>
      <c r="D140" s="46">
        <v>2606163</v>
      </c>
      <c r="E140" s="273">
        <v>44505</v>
      </c>
      <c r="F140" s="273">
        <v>45259</v>
      </c>
      <c r="G140" s="23">
        <f t="shared" si="9"/>
        <v>754</v>
      </c>
      <c r="H140" s="9" t="s">
        <v>171</v>
      </c>
      <c r="I140" s="311">
        <v>0</v>
      </c>
      <c r="J140" s="311">
        <v>1</v>
      </c>
      <c r="K140" s="78">
        <v>1</v>
      </c>
      <c r="L140" s="78"/>
      <c r="M140" s="78"/>
      <c r="N140" s="78">
        <v>1</v>
      </c>
      <c r="O140" s="78"/>
      <c r="P140" s="78"/>
      <c r="Q140" s="78"/>
      <c r="R140" s="78"/>
      <c r="S140" s="78"/>
      <c r="T140" s="78"/>
      <c r="U140" s="78"/>
      <c r="V140" s="78"/>
      <c r="W140" s="216"/>
      <c r="X140" s="78">
        <v>0</v>
      </c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216"/>
    </row>
    <row r="141" spans="3:35" s="295" customFormat="1" x14ac:dyDescent="0.25">
      <c r="C141" s="50" t="s">
        <v>61</v>
      </c>
      <c r="D141" s="16">
        <v>3350992</v>
      </c>
      <c r="E141" s="273">
        <v>44496</v>
      </c>
      <c r="F141" s="296">
        <v>45413</v>
      </c>
      <c r="G141" s="297">
        <f t="shared" si="9"/>
        <v>917</v>
      </c>
      <c r="H141" s="9" t="s">
        <v>171</v>
      </c>
      <c r="I141" s="310">
        <v>0</v>
      </c>
      <c r="J141" s="310">
        <v>1</v>
      </c>
      <c r="K141" s="310">
        <v>1</v>
      </c>
      <c r="L141" s="310"/>
      <c r="M141" s="310"/>
      <c r="N141" s="310">
        <v>1</v>
      </c>
      <c r="O141" s="310"/>
      <c r="P141" s="310"/>
      <c r="Q141" s="310"/>
      <c r="R141" s="310"/>
      <c r="S141" s="310"/>
      <c r="T141" s="310"/>
      <c r="U141" s="310"/>
      <c r="V141" s="310"/>
      <c r="X141" s="310">
        <v>0</v>
      </c>
      <c r="Y141" s="310"/>
      <c r="Z141" s="310"/>
      <c r="AA141" s="310"/>
      <c r="AB141" s="310"/>
      <c r="AC141" s="310"/>
      <c r="AD141" s="310"/>
      <c r="AE141" s="310"/>
      <c r="AF141" s="310"/>
      <c r="AG141" s="310">
        <v>1</v>
      </c>
      <c r="AH141" s="310">
        <v>1</v>
      </c>
    </row>
    <row r="142" spans="3:35" s="295" customFormat="1" x14ac:dyDescent="0.25">
      <c r="C142" s="304" t="s">
        <v>286</v>
      </c>
      <c r="D142" s="298">
        <v>2202418</v>
      </c>
      <c r="E142" s="279">
        <v>44425</v>
      </c>
      <c r="F142" s="279">
        <v>45236</v>
      </c>
      <c r="G142" s="23">
        <f t="shared" si="9"/>
        <v>811</v>
      </c>
      <c r="H142" s="298" t="s">
        <v>242</v>
      </c>
      <c r="I142" s="311">
        <v>0</v>
      </c>
      <c r="J142" s="311">
        <v>1</v>
      </c>
      <c r="K142" s="310">
        <v>0</v>
      </c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X142" s="310">
        <v>0</v>
      </c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</row>
    <row r="143" spans="3:35" s="295" customFormat="1" x14ac:dyDescent="0.25">
      <c r="C143" s="272" t="s">
        <v>112</v>
      </c>
      <c r="D143" s="16">
        <v>957141</v>
      </c>
      <c r="E143" s="273">
        <v>44810</v>
      </c>
      <c r="F143" s="296">
        <v>45378</v>
      </c>
      <c r="G143" s="297">
        <f t="shared" si="9"/>
        <v>568</v>
      </c>
      <c r="H143" s="9" t="s">
        <v>242</v>
      </c>
      <c r="I143" s="310">
        <v>0</v>
      </c>
      <c r="J143" s="310">
        <v>1</v>
      </c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X143" s="310"/>
      <c r="Y143" s="310"/>
      <c r="Z143" s="310"/>
      <c r="AA143" s="310"/>
      <c r="AB143" s="310"/>
      <c r="AC143" s="310"/>
      <c r="AD143" s="310"/>
      <c r="AE143" s="310"/>
      <c r="AF143" s="310"/>
      <c r="AG143" s="310"/>
      <c r="AH143" s="310"/>
    </row>
    <row r="144" spans="3:35" s="295" customFormat="1" x14ac:dyDescent="0.25">
      <c r="C144" s="272" t="s">
        <v>285</v>
      </c>
      <c r="D144" s="48">
        <v>6430250</v>
      </c>
      <c r="E144" s="279">
        <v>44414</v>
      </c>
      <c r="F144" s="279">
        <v>45152</v>
      </c>
      <c r="G144" s="23">
        <f t="shared" si="9"/>
        <v>738</v>
      </c>
      <c r="H144" s="16" t="s">
        <v>242</v>
      </c>
      <c r="I144" s="311">
        <v>0</v>
      </c>
      <c r="J144" s="311">
        <v>1</v>
      </c>
      <c r="K144" s="79">
        <v>0</v>
      </c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272"/>
      <c r="X144" s="79">
        <v>0</v>
      </c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</row>
    <row r="145" spans="3:34" s="295" customFormat="1" x14ac:dyDescent="0.25">
      <c r="C145" s="272" t="s">
        <v>292</v>
      </c>
      <c r="D145" s="307">
        <v>1317813</v>
      </c>
      <c r="E145" s="279">
        <v>44425</v>
      </c>
      <c r="F145" s="279">
        <v>45155</v>
      </c>
      <c r="G145" s="23">
        <f t="shared" si="9"/>
        <v>730</v>
      </c>
      <c r="H145" s="16" t="s">
        <v>242</v>
      </c>
      <c r="I145" s="314">
        <v>0</v>
      </c>
      <c r="J145" s="311">
        <v>1</v>
      </c>
      <c r="K145" s="79">
        <v>1</v>
      </c>
      <c r="L145" s="79"/>
      <c r="M145" s="79"/>
      <c r="N145" s="79"/>
      <c r="O145" s="79">
        <v>1</v>
      </c>
      <c r="P145" s="79"/>
      <c r="Q145" s="79"/>
      <c r="R145" s="79">
        <v>1</v>
      </c>
      <c r="S145" s="79"/>
      <c r="T145" s="79"/>
      <c r="U145" s="79"/>
      <c r="V145" s="79"/>
      <c r="W145" s="272" t="s">
        <v>293</v>
      </c>
      <c r="X145" s="79">
        <v>0</v>
      </c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</row>
    <row r="146" spans="3:34" s="295" customFormat="1" x14ac:dyDescent="0.25">
      <c r="C146" s="295" t="s">
        <v>274</v>
      </c>
      <c r="D146" s="295">
        <v>3446956</v>
      </c>
      <c r="E146" s="279">
        <v>44354</v>
      </c>
      <c r="F146" s="279">
        <v>45202</v>
      </c>
      <c r="G146" s="23">
        <f t="shared" si="9"/>
        <v>848</v>
      </c>
      <c r="H146" s="298" t="s">
        <v>242</v>
      </c>
      <c r="I146" s="311">
        <v>0</v>
      </c>
      <c r="J146" s="311">
        <v>1</v>
      </c>
      <c r="K146" s="78">
        <v>1</v>
      </c>
      <c r="L146" s="310"/>
      <c r="M146" s="310"/>
      <c r="N146" s="310">
        <v>1</v>
      </c>
      <c r="O146" s="310"/>
      <c r="P146" s="310"/>
      <c r="Q146" s="310"/>
      <c r="R146" s="310">
        <v>1</v>
      </c>
      <c r="S146" s="310"/>
      <c r="T146" s="310"/>
      <c r="U146" s="310"/>
      <c r="V146" s="310"/>
      <c r="X146" s="78">
        <v>0</v>
      </c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</row>
    <row r="147" spans="3:34" s="295" customFormat="1" x14ac:dyDescent="0.25">
      <c r="C147" s="216" t="s">
        <v>276</v>
      </c>
      <c r="D147" s="216">
        <v>1819735</v>
      </c>
      <c r="E147" s="279">
        <v>44371</v>
      </c>
      <c r="F147" s="279">
        <v>45127</v>
      </c>
      <c r="G147" s="23">
        <f t="shared" si="9"/>
        <v>756</v>
      </c>
      <c r="H147" s="9" t="s">
        <v>242</v>
      </c>
      <c r="I147" s="311">
        <v>0</v>
      </c>
      <c r="J147" s="311">
        <v>1</v>
      </c>
      <c r="K147" s="78">
        <v>0</v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216"/>
      <c r="X147" s="78">
        <v>0</v>
      </c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spans="3:34" s="295" customFormat="1" x14ac:dyDescent="0.25">
      <c r="C148" s="272" t="s">
        <v>80</v>
      </c>
      <c r="D148" s="272">
        <v>6535928</v>
      </c>
      <c r="E148" s="273">
        <v>44545</v>
      </c>
      <c r="F148" s="296">
        <v>45492</v>
      </c>
      <c r="G148" s="297">
        <f t="shared" si="9"/>
        <v>947</v>
      </c>
      <c r="H148" s="9" t="s">
        <v>242</v>
      </c>
      <c r="I148" s="310">
        <v>0</v>
      </c>
      <c r="J148" s="310">
        <v>1</v>
      </c>
      <c r="K148" s="310">
        <v>1</v>
      </c>
      <c r="L148" s="310"/>
      <c r="M148" s="310"/>
      <c r="N148" s="310">
        <v>1</v>
      </c>
      <c r="O148" s="310">
        <v>1</v>
      </c>
      <c r="P148" s="310">
        <v>1</v>
      </c>
      <c r="Q148" s="310"/>
      <c r="R148" s="310">
        <v>1</v>
      </c>
      <c r="S148" s="310"/>
      <c r="T148" s="310"/>
      <c r="U148" s="310"/>
      <c r="V148" s="310"/>
      <c r="X148" s="310">
        <v>0</v>
      </c>
      <c r="Y148" s="310"/>
      <c r="Z148" s="310"/>
      <c r="AA148" s="310"/>
      <c r="AB148" s="310"/>
      <c r="AC148" s="310"/>
      <c r="AD148" s="310"/>
      <c r="AE148" s="310"/>
      <c r="AF148" s="310"/>
      <c r="AG148" s="310"/>
      <c r="AH148" s="310"/>
    </row>
    <row r="149" spans="3:34" s="295" customFormat="1" x14ac:dyDescent="0.25">
      <c r="C149" s="277" t="s">
        <v>279</v>
      </c>
      <c r="D149" s="16">
        <v>568973</v>
      </c>
      <c r="E149" s="279">
        <v>44386</v>
      </c>
      <c r="F149" s="279">
        <v>45132</v>
      </c>
      <c r="G149" s="23">
        <f t="shared" si="9"/>
        <v>746</v>
      </c>
      <c r="H149" s="16" t="s">
        <v>242</v>
      </c>
      <c r="I149" s="311">
        <v>0</v>
      </c>
      <c r="J149" s="311">
        <v>1</v>
      </c>
      <c r="K149" s="79">
        <v>0</v>
      </c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272" t="s">
        <v>280</v>
      </c>
      <c r="X149" s="79">
        <v>0</v>
      </c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</row>
    <row r="150" spans="3:34" s="295" customFormat="1" x14ac:dyDescent="0.25">
      <c r="C150" s="277" t="s">
        <v>241</v>
      </c>
      <c r="D150" s="51">
        <v>4184793</v>
      </c>
      <c r="E150" s="273">
        <v>44482</v>
      </c>
      <c r="F150" s="273">
        <v>45141</v>
      </c>
      <c r="G150" s="23">
        <f t="shared" si="9"/>
        <v>659</v>
      </c>
      <c r="H150" s="16" t="s">
        <v>171</v>
      </c>
      <c r="I150" s="314">
        <v>1</v>
      </c>
      <c r="J150" s="314">
        <v>1</v>
      </c>
      <c r="K150" s="79" t="s">
        <v>172</v>
      </c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272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</row>
    <row r="151" spans="3:34" s="295" customFormat="1" x14ac:dyDescent="0.25">
      <c r="C151" s="282" t="s">
        <v>281</v>
      </c>
      <c r="D151" s="46">
        <v>5322599</v>
      </c>
      <c r="E151" s="279">
        <v>44393</v>
      </c>
      <c r="F151" s="279">
        <v>45141</v>
      </c>
      <c r="G151" s="23">
        <f t="shared" si="9"/>
        <v>748</v>
      </c>
      <c r="H151" s="9" t="s">
        <v>242</v>
      </c>
      <c r="I151" s="311">
        <v>0</v>
      </c>
      <c r="J151" s="311">
        <v>1</v>
      </c>
      <c r="K151" s="78">
        <v>1</v>
      </c>
      <c r="L151" s="78"/>
      <c r="M151" s="78"/>
      <c r="N151" s="78"/>
      <c r="O151" s="78"/>
      <c r="P151" s="78"/>
      <c r="Q151" s="78"/>
      <c r="R151" s="78">
        <v>1</v>
      </c>
      <c r="S151" s="78"/>
      <c r="T151" s="78"/>
      <c r="U151" s="78"/>
      <c r="V151" s="78"/>
      <c r="W151" s="216"/>
      <c r="X151" s="78">
        <v>0</v>
      </c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  <row r="152" spans="3:34" s="295" customFormat="1" x14ac:dyDescent="0.25">
      <c r="C152" s="272" t="s">
        <v>85</v>
      </c>
      <c r="D152" s="272">
        <v>3501315</v>
      </c>
      <c r="E152" s="283">
        <v>44599</v>
      </c>
      <c r="F152" s="296">
        <v>45350</v>
      </c>
      <c r="G152" s="297">
        <f t="shared" si="9"/>
        <v>751</v>
      </c>
      <c r="H152" s="16" t="s">
        <v>242</v>
      </c>
      <c r="I152" s="310">
        <v>0</v>
      </c>
      <c r="J152" s="310">
        <v>1</v>
      </c>
      <c r="K152" s="310">
        <v>0</v>
      </c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X152" s="310">
        <v>0</v>
      </c>
      <c r="Y152" s="310"/>
      <c r="Z152" s="310"/>
      <c r="AA152" s="310"/>
      <c r="AB152" s="310"/>
      <c r="AC152" s="310"/>
      <c r="AD152" s="310"/>
      <c r="AE152" s="310"/>
      <c r="AF152" s="310"/>
      <c r="AG152" s="310"/>
      <c r="AH152" s="310">
        <v>2</v>
      </c>
    </row>
    <row r="153" spans="3:34" s="295" customFormat="1" x14ac:dyDescent="0.25">
      <c r="C153" s="50" t="s">
        <v>107</v>
      </c>
      <c r="D153" s="16">
        <v>3501458</v>
      </c>
      <c r="E153" s="273">
        <v>44641</v>
      </c>
      <c r="F153" s="296">
        <v>45419</v>
      </c>
      <c r="G153" s="297">
        <f t="shared" si="9"/>
        <v>778</v>
      </c>
      <c r="H153" s="9" t="s">
        <v>242</v>
      </c>
      <c r="I153" s="310">
        <v>0</v>
      </c>
      <c r="J153" s="310">
        <v>1</v>
      </c>
      <c r="K153" s="310">
        <v>1</v>
      </c>
      <c r="L153" s="310"/>
      <c r="M153" s="310"/>
      <c r="N153" s="310">
        <v>1</v>
      </c>
      <c r="O153" s="310"/>
      <c r="P153" s="310"/>
      <c r="Q153" s="310"/>
      <c r="R153" s="310"/>
      <c r="S153" s="310"/>
      <c r="T153" s="310"/>
      <c r="U153" s="310"/>
      <c r="V153" s="310"/>
      <c r="X153" s="310">
        <v>0</v>
      </c>
      <c r="Y153" s="310"/>
      <c r="Z153" s="310"/>
      <c r="AA153" s="310"/>
      <c r="AB153" s="310"/>
      <c r="AC153" s="310"/>
      <c r="AD153" s="310"/>
      <c r="AE153" s="310"/>
      <c r="AF153" s="310"/>
      <c r="AG153" s="310">
        <v>1</v>
      </c>
      <c r="AH153" s="310">
        <v>2</v>
      </c>
    </row>
    <row r="154" spans="3:34" s="295" customFormat="1" x14ac:dyDescent="0.25">
      <c r="C154" s="50" t="s">
        <v>71</v>
      </c>
      <c r="D154" s="16">
        <v>6559599</v>
      </c>
      <c r="E154" s="273">
        <v>44502</v>
      </c>
      <c r="F154" s="296">
        <v>45440</v>
      </c>
      <c r="G154" s="297">
        <f t="shared" si="9"/>
        <v>938</v>
      </c>
      <c r="H154" s="9" t="s">
        <v>242</v>
      </c>
      <c r="I154" s="310">
        <v>0</v>
      </c>
      <c r="J154" s="310">
        <v>1</v>
      </c>
      <c r="K154" s="310">
        <v>0</v>
      </c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X154" s="310">
        <v>0</v>
      </c>
      <c r="Y154" s="310"/>
      <c r="Z154" s="310"/>
      <c r="AA154" s="310"/>
      <c r="AB154" s="310"/>
      <c r="AC154" s="310"/>
      <c r="AD154" s="310"/>
      <c r="AE154" s="310"/>
      <c r="AF154" s="310"/>
      <c r="AG154" s="310"/>
      <c r="AH154" s="310">
        <v>2</v>
      </c>
    </row>
    <row r="155" spans="3:34" s="295" customFormat="1" x14ac:dyDescent="0.25">
      <c r="C155" s="50" t="s">
        <v>126</v>
      </c>
      <c r="D155" s="16">
        <v>6324630</v>
      </c>
      <c r="E155" s="283">
        <v>44713</v>
      </c>
      <c r="F155" s="296">
        <v>45371</v>
      </c>
      <c r="G155" s="297">
        <f t="shared" si="9"/>
        <v>658</v>
      </c>
      <c r="H155" s="16" t="s">
        <v>242</v>
      </c>
      <c r="I155" s="310">
        <v>1</v>
      </c>
      <c r="J155" s="310">
        <v>1</v>
      </c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X155" s="310"/>
      <c r="Y155" s="310"/>
      <c r="Z155" s="310"/>
      <c r="AA155" s="310"/>
      <c r="AB155" s="310"/>
      <c r="AC155" s="310"/>
      <c r="AD155" s="310"/>
      <c r="AE155" s="310"/>
      <c r="AF155" s="310"/>
      <c r="AG155" s="310"/>
      <c r="AH155" s="310"/>
    </row>
    <row r="156" spans="3:34" s="295" customFormat="1" x14ac:dyDescent="0.25">
      <c r="C156" s="295" t="s">
        <v>237</v>
      </c>
      <c r="D156" s="297">
        <v>3567123</v>
      </c>
      <c r="E156" s="273">
        <v>44463</v>
      </c>
      <c r="F156" s="273">
        <v>45258</v>
      </c>
      <c r="G156" s="23">
        <f t="shared" si="9"/>
        <v>795</v>
      </c>
      <c r="H156" s="298" t="s">
        <v>171</v>
      </c>
      <c r="I156" s="311">
        <v>0</v>
      </c>
      <c r="J156" s="311">
        <v>1</v>
      </c>
      <c r="K156" s="310">
        <v>2</v>
      </c>
      <c r="L156" s="310"/>
      <c r="M156" s="310"/>
      <c r="N156" s="310">
        <v>2</v>
      </c>
      <c r="O156" s="310"/>
      <c r="P156" s="310"/>
      <c r="Q156" s="310"/>
      <c r="R156" s="310"/>
      <c r="S156" s="310"/>
      <c r="T156" s="310"/>
      <c r="U156" s="310"/>
      <c r="V156" s="310"/>
      <c r="X156" s="310">
        <v>0</v>
      </c>
      <c r="Y156" s="310"/>
      <c r="Z156" s="310"/>
      <c r="AA156" s="310"/>
      <c r="AB156" s="310"/>
      <c r="AC156" s="310"/>
      <c r="AD156" s="310"/>
      <c r="AE156" s="310"/>
      <c r="AF156" s="310"/>
      <c r="AG156" s="310"/>
      <c r="AH156" s="310"/>
    </row>
    <row r="157" spans="3:34" s="295" customFormat="1" x14ac:dyDescent="0.25">
      <c r="C157" s="272" t="s">
        <v>295</v>
      </c>
      <c r="D157" s="48">
        <v>5615152</v>
      </c>
      <c r="E157" s="279">
        <v>44428</v>
      </c>
      <c r="F157" s="279">
        <v>45141</v>
      </c>
      <c r="G157" s="23">
        <f t="shared" si="9"/>
        <v>713</v>
      </c>
      <c r="H157" s="16" t="s">
        <v>242</v>
      </c>
      <c r="I157" s="314">
        <v>0</v>
      </c>
      <c r="J157" s="311">
        <v>1</v>
      </c>
      <c r="K157" s="79">
        <v>1</v>
      </c>
      <c r="L157" s="79"/>
      <c r="M157" s="79"/>
      <c r="N157" s="79">
        <v>1</v>
      </c>
      <c r="O157" s="79"/>
      <c r="P157" s="79">
        <v>1</v>
      </c>
      <c r="Q157" s="79"/>
      <c r="R157" s="79"/>
      <c r="S157" s="79"/>
      <c r="T157" s="79"/>
      <c r="U157" s="79"/>
      <c r="V157" s="79"/>
      <c r="W157" s="272"/>
      <c r="X157" s="79">
        <v>0</v>
      </c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</row>
    <row r="158" spans="3:34" s="295" customFormat="1" x14ac:dyDescent="0.25">
      <c r="C158" s="9" t="s">
        <v>35</v>
      </c>
      <c r="D158" s="9">
        <v>2461167</v>
      </c>
      <c r="E158" s="273">
        <v>44273</v>
      </c>
      <c r="F158" s="296">
        <v>45397</v>
      </c>
      <c r="G158" s="297">
        <f t="shared" si="9"/>
        <v>1124</v>
      </c>
      <c r="H158" s="9" t="s">
        <v>171</v>
      </c>
      <c r="I158" s="310">
        <v>1</v>
      </c>
      <c r="J158" s="310">
        <v>1</v>
      </c>
      <c r="K158" s="310">
        <v>2</v>
      </c>
      <c r="L158" s="310"/>
      <c r="M158" s="310"/>
      <c r="N158" s="310">
        <v>2</v>
      </c>
      <c r="O158" s="310"/>
      <c r="P158" s="310"/>
      <c r="Q158" s="310"/>
      <c r="R158" s="310"/>
      <c r="S158" s="310"/>
      <c r="T158" s="310">
        <v>1</v>
      </c>
      <c r="U158" s="310"/>
      <c r="V158" s="310"/>
      <c r="W158" s="295" t="s">
        <v>37</v>
      </c>
      <c r="X158" s="310">
        <v>1</v>
      </c>
      <c r="Y158" s="310"/>
      <c r="Z158" s="310">
        <v>1</v>
      </c>
      <c r="AA158" s="310"/>
      <c r="AB158" s="310"/>
      <c r="AC158" s="310"/>
      <c r="AD158" s="310"/>
      <c r="AE158" s="310"/>
      <c r="AF158" s="310"/>
      <c r="AG158" s="310"/>
      <c r="AH158" s="310"/>
    </row>
    <row r="159" spans="3:34" s="295" customFormat="1" x14ac:dyDescent="0.25">
      <c r="C159" s="50" t="s">
        <v>70</v>
      </c>
      <c r="D159" s="16">
        <v>4640520</v>
      </c>
      <c r="E159" s="273">
        <v>44529</v>
      </c>
      <c r="F159" s="296">
        <v>45426</v>
      </c>
      <c r="G159" s="297">
        <f t="shared" si="9"/>
        <v>897</v>
      </c>
      <c r="H159" s="9" t="s">
        <v>242</v>
      </c>
      <c r="I159" s="310">
        <v>0</v>
      </c>
      <c r="J159" s="310">
        <v>1</v>
      </c>
      <c r="K159" s="310">
        <v>0</v>
      </c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X159" s="310">
        <v>0</v>
      </c>
      <c r="Y159" s="310"/>
      <c r="Z159" s="310"/>
      <c r="AA159" s="310"/>
      <c r="AB159" s="310"/>
      <c r="AC159" s="310"/>
      <c r="AD159" s="310"/>
      <c r="AE159" s="310"/>
      <c r="AF159" s="310"/>
      <c r="AG159" s="310"/>
      <c r="AH159" s="310"/>
    </row>
    <row r="160" spans="3:34" s="295" customFormat="1" x14ac:dyDescent="0.25">
      <c r="C160" s="50" t="s">
        <v>74</v>
      </c>
      <c r="D160" s="16">
        <v>5371431</v>
      </c>
      <c r="E160" s="273">
        <v>44557</v>
      </c>
      <c r="F160" s="296">
        <v>45497</v>
      </c>
      <c r="G160" s="297">
        <f t="shared" si="9"/>
        <v>940</v>
      </c>
      <c r="H160" s="9" t="s">
        <v>242</v>
      </c>
      <c r="I160" s="310">
        <v>0</v>
      </c>
      <c r="J160" s="310">
        <v>1</v>
      </c>
      <c r="K160" s="310">
        <v>0</v>
      </c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X160" s="310">
        <v>0</v>
      </c>
      <c r="Y160" s="310"/>
      <c r="Z160" s="310"/>
      <c r="AA160" s="310"/>
      <c r="AB160" s="310"/>
      <c r="AC160" s="310"/>
      <c r="AD160" s="310"/>
      <c r="AE160" s="310"/>
      <c r="AF160" s="310"/>
      <c r="AG160" s="310"/>
      <c r="AH160" s="310"/>
    </row>
    <row r="161" spans="3:35" s="295" customFormat="1" x14ac:dyDescent="0.25">
      <c r="C161" s="9" t="s">
        <v>41</v>
      </c>
      <c r="D161" s="9">
        <v>6378361</v>
      </c>
      <c r="E161" s="273">
        <v>44293</v>
      </c>
      <c r="F161" s="296">
        <v>44673</v>
      </c>
      <c r="G161" s="297">
        <f t="shared" si="9"/>
        <v>380</v>
      </c>
      <c r="H161" s="9" t="s">
        <v>171</v>
      </c>
      <c r="I161" s="310">
        <v>1</v>
      </c>
      <c r="J161" s="310">
        <v>1</v>
      </c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295" t="s">
        <v>302</v>
      </c>
      <c r="X161" s="310"/>
      <c r="Y161" s="310"/>
      <c r="Z161" s="310"/>
      <c r="AA161" s="310"/>
      <c r="AB161" s="310"/>
      <c r="AC161" s="310"/>
      <c r="AD161" s="310"/>
      <c r="AE161" s="310"/>
      <c r="AF161" s="310"/>
      <c r="AG161" s="310"/>
      <c r="AH161" s="310"/>
    </row>
    <row r="162" spans="3:35" s="295" customFormat="1" x14ac:dyDescent="0.25">
      <c r="C162" s="304" t="s">
        <v>239</v>
      </c>
      <c r="D162" s="57">
        <v>2045165</v>
      </c>
      <c r="E162" s="273">
        <v>44468</v>
      </c>
      <c r="F162" s="273">
        <v>45238</v>
      </c>
      <c r="G162" s="23">
        <f t="shared" si="9"/>
        <v>770</v>
      </c>
      <c r="H162" s="298" t="s">
        <v>171</v>
      </c>
      <c r="I162" s="311">
        <v>0</v>
      </c>
      <c r="J162" s="311">
        <v>1</v>
      </c>
      <c r="K162" s="79">
        <v>2</v>
      </c>
      <c r="L162" s="310"/>
      <c r="M162" s="310">
        <v>1</v>
      </c>
      <c r="N162" s="310"/>
      <c r="O162" s="310"/>
      <c r="P162" s="310">
        <v>2</v>
      </c>
      <c r="Q162" s="310"/>
      <c r="R162" s="310">
        <v>2</v>
      </c>
      <c r="S162" s="310"/>
      <c r="T162" s="310"/>
      <c r="U162" s="310"/>
      <c r="V162" s="310"/>
      <c r="X162" s="310">
        <v>0</v>
      </c>
      <c r="Y162" s="310"/>
      <c r="Z162" s="310"/>
      <c r="AA162" s="310"/>
      <c r="AB162" s="310"/>
      <c r="AC162" s="310"/>
      <c r="AD162" s="310"/>
      <c r="AE162" s="310"/>
      <c r="AF162" s="310"/>
      <c r="AG162" s="310"/>
      <c r="AH162" s="310"/>
    </row>
    <row r="163" spans="3:35" s="295" customFormat="1" x14ac:dyDescent="0.25">
      <c r="C163" s="216" t="s">
        <v>43</v>
      </c>
      <c r="D163" s="216">
        <v>6007874</v>
      </c>
      <c r="E163" s="273">
        <v>44298</v>
      </c>
      <c r="F163" s="296">
        <v>45397</v>
      </c>
      <c r="G163" s="297">
        <f t="shared" si="9"/>
        <v>1099</v>
      </c>
      <c r="H163" s="9" t="s">
        <v>171</v>
      </c>
      <c r="I163" s="310">
        <v>1</v>
      </c>
      <c r="J163" s="310">
        <v>1</v>
      </c>
      <c r="K163" s="310">
        <v>0</v>
      </c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295" t="s">
        <v>44</v>
      </c>
      <c r="X163" s="310">
        <v>0</v>
      </c>
      <c r="Y163" s="310"/>
      <c r="Z163" s="310"/>
      <c r="AA163" s="310"/>
      <c r="AB163" s="310"/>
      <c r="AC163" s="310"/>
      <c r="AD163" s="310"/>
      <c r="AE163" s="310"/>
      <c r="AF163" s="310"/>
      <c r="AG163" s="310"/>
      <c r="AH163" s="310"/>
    </row>
    <row r="164" spans="3:35" s="295" customFormat="1" x14ac:dyDescent="0.25">
      <c r="C164" s="50" t="s">
        <v>101</v>
      </c>
      <c r="D164" s="16">
        <v>1248363</v>
      </c>
      <c r="E164" s="273">
        <v>44652</v>
      </c>
      <c r="F164" s="296">
        <v>45266</v>
      </c>
      <c r="G164" s="297">
        <f t="shared" si="9"/>
        <v>614</v>
      </c>
      <c r="H164" s="9" t="s">
        <v>242</v>
      </c>
      <c r="I164" s="310">
        <v>1</v>
      </c>
      <c r="J164" s="310">
        <v>1</v>
      </c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295" t="s">
        <v>102</v>
      </c>
      <c r="X164" s="310"/>
      <c r="Y164" s="310"/>
      <c r="Z164" s="310"/>
      <c r="AA164" s="310"/>
      <c r="AB164" s="310"/>
      <c r="AC164" s="310"/>
      <c r="AD164" s="310"/>
      <c r="AE164" s="310"/>
      <c r="AF164" s="310"/>
      <c r="AG164" s="310"/>
      <c r="AH164" s="310"/>
    </row>
    <row r="165" spans="3:35" s="295" customFormat="1" x14ac:dyDescent="0.25">
      <c r="C165" s="272" t="s">
        <v>288</v>
      </c>
      <c r="D165" s="48">
        <v>6259132</v>
      </c>
      <c r="E165" s="279">
        <v>44425</v>
      </c>
      <c r="F165" s="279">
        <v>45177</v>
      </c>
      <c r="G165" s="23">
        <f t="shared" si="9"/>
        <v>752</v>
      </c>
      <c r="H165" s="16" t="s">
        <v>242</v>
      </c>
      <c r="I165" s="311">
        <v>0</v>
      </c>
      <c r="J165" s="311">
        <v>1</v>
      </c>
      <c r="K165" s="79">
        <v>0</v>
      </c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272"/>
      <c r="X165" s="79">
        <v>0</v>
      </c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</row>
    <row r="166" spans="3:35" s="295" customFormat="1" x14ac:dyDescent="0.25">
      <c r="C166" s="304" t="s">
        <v>180</v>
      </c>
      <c r="D166" s="57">
        <v>3608742</v>
      </c>
      <c r="E166" s="273">
        <v>44286</v>
      </c>
      <c r="F166" s="273">
        <v>45265</v>
      </c>
      <c r="G166" s="23">
        <f t="shared" si="9"/>
        <v>979</v>
      </c>
      <c r="H166" s="298" t="s">
        <v>171</v>
      </c>
      <c r="I166" s="311">
        <v>0</v>
      </c>
      <c r="J166" s="311">
        <v>1</v>
      </c>
      <c r="K166" s="310">
        <v>2</v>
      </c>
      <c r="L166" s="317"/>
      <c r="M166" s="310"/>
      <c r="N166" s="310">
        <v>2</v>
      </c>
      <c r="O166" s="310">
        <v>1</v>
      </c>
      <c r="P166" s="310"/>
      <c r="Q166" s="310"/>
      <c r="R166" s="310">
        <v>2</v>
      </c>
      <c r="S166" s="310"/>
      <c r="T166" s="310"/>
      <c r="U166" s="310"/>
      <c r="V166" s="310"/>
      <c r="W166" s="295" t="s">
        <v>181</v>
      </c>
      <c r="X166" s="310">
        <v>1</v>
      </c>
      <c r="Y166" s="310"/>
      <c r="Z166" s="310"/>
      <c r="AA166" s="310"/>
      <c r="AB166" s="310"/>
      <c r="AC166" s="310">
        <v>1</v>
      </c>
      <c r="AD166" s="310"/>
      <c r="AE166" s="310"/>
      <c r="AF166" s="310"/>
      <c r="AG166" s="310"/>
      <c r="AH166" s="310"/>
    </row>
    <row r="167" spans="3:35" s="295" customFormat="1" x14ac:dyDescent="0.25">
      <c r="C167" s="50" t="s">
        <v>283</v>
      </c>
      <c r="D167" s="16">
        <v>1978750</v>
      </c>
      <c r="E167" s="279">
        <v>44390</v>
      </c>
      <c r="F167" s="279">
        <v>45175</v>
      </c>
      <c r="G167" s="23">
        <f t="shared" si="9"/>
        <v>785</v>
      </c>
      <c r="H167" s="16" t="s">
        <v>242</v>
      </c>
      <c r="I167" s="311">
        <v>0</v>
      </c>
      <c r="J167" s="311">
        <v>1</v>
      </c>
      <c r="K167" s="79">
        <v>1</v>
      </c>
      <c r="L167" s="79"/>
      <c r="M167" s="79"/>
      <c r="N167" s="79">
        <v>1</v>
      </c>
      <c r="O167" s="79"/>
      <c r="P167" s="79">
        <v>1</v>
      </c>
      <c r="Q167" s="79"/>
      <c r="R167" s="79"/>
      <c r="S167" s="79"/>
      <c r="T167" s="79"/>
      <c r="U167" s="79"/>
      <c r="V167" s="79"/>
      <c r="W167" s="272"/>
      <c r="X167" s="79">
        <v>0</v>
      </c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</row>
    <row r="168" spans="3:35" s="295" customFormat="1" x14ac:dyDescent="0.25">
      <c r="C168" s="50" t="s">
        <v>108</v>
      </c>
      <c r="D168" s="16">
        <v>4886388</v>
      </c>
      <c r="E168" s="273">
        <v>44636</v>
      </c>
      <c r="F168" s="296">
        <v>45349</v>
      </c>
      <c r="G168" s="297">
        <f t="shared" si="9"/>
        <v>713</v>
      </c>
      <c r="H168" s="9" t="s">
        <v>242</v>
      </c>
      <c r="I168" s="310">
        <v>0</v>
      </c>
      <c r="J168" s="310">
        <v>1</v>
      </c>
      <c r="K168" s="310">
        <v>0</v>
      </c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X168" s="310">
        <v>0</v>
      </c>
      <c r="Y168" s="310"/>
      <c r="Z168" s="310"/>
      <c r="AA168" s="310"/>
      <c r="AB168" s="310"/>
      <c r="AC168" s="310"/>
      <c r="AD168" s="310"/>
      <c r="AE168" s="310"/>
      <c r="AF168" s="310"/>
      <c r="AG168" s="310"/>
      <c r="AH168" s="310">
        <v>2</v>
      </c>
    </row>
    <row r="169" spans="3:35" s="295" customFormat="1" x14ac:dyDescent="0.25">
      <c r="C169" s="50" t="s">
        <v>161</v>
      </c>
      <c r="D169" s="50" t="s">
        <v>162</v>
      </c>
      <c r="E169" s="300">
        <v>44669</v>
      </c>
      <c r="F169" s="300">
        <v>44911</v>
      </c>
      <c r="G169" s="301">
        <f>(F169-E169)</f>
        <v>242</v>
      </c>
      <c r="H169" s="295" t="s">
        <v>242</v>
      </c>
      <c r="I169" s="310">
        <v>1</v>
      </c>
      <c r="J169" s="310">
        <v>1</v>
      </c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295" t="s">
        <v>163</v>
      </c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</row>
    <row r="170" spans="3:35" s="295" customFormat="1" x14ac:dyDescent="0.25">
      <c r="C170" s="21" t="s">
        <v>256</v>
      </c>
      <c r="D170" s="22">
        <v>1258937</v>
      </c>
      <c r="E170" s="279">
        <v>44284</v>
      </c>
      <c r="F170" s="279">
        <v>45219</v>
      </c>
      <c r="G170" s="23">
        <f t="shared" ref="G170:G179" si="10">F170-E170</f>
        <v>935</v>
      </c>
      <c r="H170" s="9" t="s">
        <v>242</v>
      </c>
      <c r="I170" s="311">
        <v>0</v>
      </c>
      <c r="J170" s="311">
        <v>1</v>
      </c>
      <c r="K170" s="310">
        <v>0</v>
      </c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X170" s="310">
        <v>0</v>
      </c>
      <c r="Y170" s="310"/>
      <c r="Z170" s="310"/>
      <c r="AA170" s="310"/>
      <c r="AB170" s="310"/>
      <c r="AC170" s="310"/>
      <c r="AD170" s="310"/>
      <c r="AE170" s="310"/>
      <c r="AF170" s="310"/>
      <c r="AG170" s="310"/>
      <c r="AH170" s="310"/>
    </row>
    <row r="171" spans="3:35" s="295" customFormat="1" x14ac:dyDescent="0.25">
      <c r="C171" s="272" t="s">
        <v>121</v>
      </c>
      <c r="D171" s="272">
        <v>6731240</v>
      </c>
      <c r="E171" s="273">
        <v>44683</v>
      </c>
      <c r="F171" s="296">
        <v>45434</v>
      </c>
      <c r="G171" s="297">
        <f t="shared" si="10"/>
        <v>751</v>
      </c>
      <c r="H171" s="9" t="s">
        <v>242</v>
      </c>
      <c r="I171" s="310">
        <v>0</v>
      </c>
      <c r="J171" s="310">
        <v>1</v>
      </c>
      <c r="K171" s="310">
        <v>1</v>
      </c>
      <c r="L171" s="310"/>
      <c r="M171" s="310"/>
      <c r="N171" s="310"/>
      <c r="O171" s="310">
        <v>1</v>
      </c>
      <c r="P171" s="310"/>
      <c r="Q171" s="310"/>
      <c r="R171" s="310"/>
      <c r="S171" s="310"/>
      <c r="T171" s="310"/>
      <c r="U171" s="310"/>
      <c r="V171" s="310"/>
      <c r="X171" s="310">
        <v>0</v>
      </c>
      <c r="Y171" s="310"/>
      <c r="Z171" s="310"/>
      <c r="AA171" s="310"/>
      <c r="AB171" s="310"/>
      <c r="AC171" s="310"/>
      <c r="AD171" s="310"/>
      <c r="AE171" s="310"/>
      <c r="AF171" s="310"/>
      <c r="AG171" s="310">
        <v>1</v>
      </c>
      <c r="AH171" s="310">
        <v>2</v>
      </c>
    </row>
    <row r="172" spans="3:35" s="295" customFormat="1" x14ac:dyDescent="0.25">
      <c r="C172" s="216" t="s">
        <v>48</v>
      </c>
      <c r="D172" s="216">
        <v>6517497</v>
      </c>
      <c r="E172" s="273">
        <v>44391</v>
      </c>
      <c r="F172" s="296">
        <v>45490</v>
      </c>
      <c r="G172" s="297">
        <f t="shared" si="10"/>
        <v>1099</v>
      </c>
      <c r="H172" s="9" t="s">
        <v>242</v>
      </c>
      <c r="I172" s="310">
        <v>0</v>
      </c>
      <c r="J172" s="310">
        <v>1</v>
      </c>
      <c r="K172" s="310">
        <v>1</v>
      </c>
      <c r="L172" s="310"/>
      <c r="M172" s="310"/>
      <c r="N172" s="310">
        <v>1</v>
      </c>
      <c r="O172" s="310">
        <v>1</v>
      </c>
      <c r="P172" s="310"/>
      <c r="Q172" s="310"/>
      <c r="R172" s="310"/>
      <c r="S172" s="310">
        <v>0</v>
      </c>
      <c r="T172" s="310"/>
      <c r="U172" s="310"/>
      <c r="V172" s="310"/>
      <c r="X172" s="310">
        <v>1</v>
      </c>
      <c r="Y172" s="310"/>
      <c r="Z172" s="310"/>
      <c r="AA172" s="310"/>
      <c r="AB172" s="310"/>
      <c r="AC172" s="310">
        <v>1</v>
      </c>
      <c r="AD172" s="310"/>
      <c r="AE172" s="310"/>
      <c r="AF172" s="310"/>
      <c r="AG172" s="310"/>
      <c r="AH172" s="310">
        <v>1</v>
      </c>
      <c r="AI172" s="295" t="s">
        <v>50</v>
      </c>
    </row>
    <row r="173" spans="3:35" s="295" customFormat="1" x14ac:dyDescent="0.25">
      <c r="C173" s="272" t="s">
        <v>47</v>
      </c>
      <c r="D173" s="272">
        <v>6499494</v>
      </c>
      <c r="E173" s="273">
        <v>44370</v>
      </c>
      <c r="F173" s="296">
        <v>44676</v>
      </c>
      <c r="G173" s="297">
        <f t="shared" si="10"/>
        <v>306</v>
      </c>
      <c r="H173" s="9" t="s">
        <v>171</v>
      </c>
      <c r="I173" s="310">
        <v>1</v>
      </c>
      <c r="J173" s="310">
        <v>1</v>
      </c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X173" s="310"/>
      <c r="Y173" s="310"/>
      <c r="Z173" s="310"/>
      <c r="AA173" s="310"/>
      <c r="AB173" s="310"/>
      <c r="AC173" s="310"/>
      <c r="AD173" s="310"/>
      <c r="AE173" s="310"/>
      <c r="AF173" s="310"/>
      <c r="AG173" s="310"/>
      <c r="AH173" s="310"/>
    </row>
    <row r="174" spans="3:35" s="295" customFormat="1" x14ac:dyDescent="0.25">
      <c r="C174" s="21" t="s">
        <v>249</v>
      </c>
      <c r="D174" s="22">
        <v>2279275</v>
      </c>
      <c r="E174" s="279">
        <v>44183</v>
      </c>
      <c r="F174" s="279">
        <v>45126</v>
      </c>
      <c r="G174" s="23">
        <f t="shared" si="10"/>
        <v>943</v>
      </c>
      <c r="H174" s="9" t="s">
        <v>242</v>
      </c>
      <c r="I174" s="311">
        <v>0</v>
      </c>
      <c r="J174" s="311">
        <v>1</v>
      </c>
      <c r="K174" s="310">
        <v>0</v>
      </c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X174" s="310">
        <v>0</v>
      </c>
      <c r="Y174" s="310"/>
      <c r="Z174" s="310"/>
      <c r="AA174" s="310"/>
      <c r="AB174" s="310"/>
      <c r="AC174" s="310"/>
      <c r="AD174" s="310"/>
      <c r="AE174" s="310"/>
      <c r="AF174" s="310"/>
      <c r="AG174" s="310"/>
      <c r="AH174" s="310"/>
    </row>
    <row r="175" spans="3:35" s="295" customFormat="1" x14ac:dyDescent="0.25">
      <c r="C175" s="275" t="s">
        <v>300</v>
      </c>
      <c r="D175" s="297">
        <v>6495503</v>
      </c>
      <c r="E175" s="279">
        <v>44483</v>
      </c>
      <c r="F175" s="279">
        <v>45257</v>
      </c>
      <c r="G175" s="23">
        <f t="shared" si="10"/>
        <v>774</v>
      </c>
      <c r="H175" s="22" t="s">
        <v>242</v>
      </c>
      <c r="I175" s="311">
        <v>0</v>
      </c>
      <c r="J175" s="311">
        <v>1</v>
      </c>
      <c r="K175" s="79">
        <v>0</v>
      </c>
      <c r="L175" s="310"/>
      <c r="M175" s="79"/>
      <c r="N175" s="310"/>
      <c r="O175" s="310"/>
      <c r="P175" s="310"/>
      <c r="Q175" s="310"/>
      <c r="R175" s="310"/>
      <c r="S175" s="310"/>
      <c r="T175" s="310"/>
      <c r="U175" s="310"/>
      <c r="V175" s="310"/>
      <c r="X175" s="310">
        <v>0</v>
      </c>
      <c r="Y175" s="310"/>
      <c r="Z175" s="310"/>
      <c r="AA175" s="310"/>
      <c r="AB175" s="310"/>
      <c r="AC175" s="310"/>
      <c r="AD175" s="310"/>
      <c r="AE175" s="310"/>
      <c r="AF175" s="310"/>
      <c r="AG175" s="310"/>
      <c r="AH175" s="310"/>
    </row>
    <row r="176" spans="3:35" s="295" customFormat="1" x14ac:dyDescent="0.25">
      <c r="C176" s="272" t="s">
        <v>111</v>
      </c>
      <c r="D176" s="16">
        <v>950828</v>
      </c>
      <c r="E176" s="273">
        <v>44666</v>
      </c>
      <c r="F176" s="296">
        <v>44985</v>
      </c>
      <c r="G176" s="297">
        <f t="shared" si="10"/>
        <v>319</v>
      </c>
      <c r="H176" s="9" t="s">
        <v>242</v>
      </c>
      <c r="I176" s="310">
        <v>1</v>
      </c>
      <c r="J176" s="310">
        <v>1</v>
      </c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X176" s="310"/>
      <c r="Y176" s="310"/>
      <c r="Z176" s="310"/>
      <c r="AA176" s="310"/>
      <c r="AB176" s="310"/>
      <c r="AC176" s="310"/>
      <c r="AD176" s="310"/>
      <c r="AE176" s="310"/>
      <c r="AF176" s="310"/>
      <c r="AG176" s="310"/>
      <c r="AH176" s="310"/>
    </row>
    <row r="177" spans="3:35" s="295" customFormat="1" x14ac:dyDescent="0.25">
      <c r="C177" s="278" t="s">
        <v>258</v>
      </c>
      <c r="D177" s="22">
        <v>6346687</v>
      </c>
      <c r="E177" s="279">
        <v>44257</v>
      </c>
      <c r="F177" s="279">
        <v>45202</v>
      </c>
      <c r="G177" s="23">
        <f t="shared" si="10"/>
        <v>945</v>
      </c>
      <c r="H177" s="9" t="s">
        <v>242</v>
      </c>
      <c r="I177" s="311">
        <v>0</v>
      </c>
      <c r="J177" s="311">
        <v>1</v>
      </c>
      <c r="K177" s="310">
        <v>1</v>
      </c>
      <c r="L177" s="310"/>
      <c r="M177" s="310"/>
      <c r="N177" s="310">
        <v>1</v>
      </c>
      <c r="O177" s="310"/>
      <c r="P177" s="310"/>
      <c r="Q177" s="310"/>
      <c r="R177" s="310">
        <v>1</v>
      </c>
      <c r="S177" s="310"/>
      <c r="T177" s="310"/>
      <c r="U177" s="310"/>
      <c r="V177" s="310"/>
      <c r="X177" s="310">
        <v>2</v>
      </c>
      <c r="Y177" s="310"/>
      <c r="Z177" s="310">
        <v>2</v>
      </c>
      <c r="AA177" s="310"/>
      <c r="AB177" s="310"/>
      <c r="AC177" s="310"/>
      <c r="AD177" s="310"/>
      <c r="AE177" s="310"/>
      <c r="AF177" s="310"/>
      <c r="AG177" s="310"/>
      <c r="AH177" s="310"/>
    </row>
    <row r="178" spans="3:35" s="295" customFormat="1" x14ac:dyDescent="0.25">
      <c r="C178" s="9" t="s">
        <v>34</v>
      </c>
      <c r="D178" s="9">
        <v>2144782</v>
      </c>
      <c r="E178" s="273">
        <v>44207</v>
      </c>
      <c r="F178" s="296">
        <v>44769</v>
      </c>
      <c r="G178" s="297">
        <f t="shared" si="10"/>
        <v>562</v>
      </c>
      <c r="H178" s="9" t="s">
        <v>171</v>
      </c>
      <c r="I178" s="310">
        <v>1</v>
      </c>
      <c r="J178" s="310">
        <v>1</v>
      </c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295" t="s">
        <v>301</v>
      </c>
      <c r="X178" s="310"/>
      <c r="Y178" s="310"/>
      <c r="Z178" s="310"/>
      <c r="AA178" s="310"/>
      <c r="AB178" s="310"/>
      <c r="AC178" s="310"/>
      <c r="AD178" s="310"/>
      <c r="AE178" s="310"/>
      <c r="AF178" s="310"/>
      <c r="AG178" s="310"/>
      <c r="AH178" s="310"/>
    </row>
    <row r="179" spans="3:35" s="295" customFormat="1" x14ac:dyDescent="0.25">
      <c r="C179" s="303" t="s">
        <v>128</v>
      </c>
      <c r="D179" s="16">
        <v>3439354</v>
      </c>
      <c r="E179" s="273">
        <v>44694</v>
      </c>
      <c r="F179" s="296">
        <v>45420</v>
      </c>
      <c r="G179" s="297">
        <f t="shared" si="10"/>
        <v>726</v>
      </c>
      <c r="H179" s="9" t="s">
        <v>242</v>
      </c>
      <c r="I179" s="310">
        <v>0</v>
      </c>
      <c r="J179" s="310">
        <v>1</v>
      </c>
      <c r="K179" s="310">
        <v>0</v>
      </c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X179" s="310">
        <v>0</v>
      </c>
      <c r="Y179" s="310"/>
      <c r="Z179" s="310"/>
      <c r="AA179" s="310"/>
      <c r="AB179" s="310"/>
      <c r="AC179" s="310"/>
      <c r="AD179" s="310"/>
      <c r="AE179" s="310"/>
      <c r="AF179" s="310"/>
      <c r="AG179" s="310"/>
      <c r="AH179" s="310"/>
    </row>
    <row r="180" spans="3:35" s="295" customFormat="1" x14ac:dyDescent="0.25">
      <c r="C180" s="272" t="s">
        <v>167</v>
      </c>
      <c r="D180" s="272">
        <v>5882236</v>
      </c>
      <c r="E180" s="300">
        <v>44669</v>
      </c>
      <c r="F180" s="300">
        <v>45443</v>
      </c>
      <c r="G180" s="301">
        <f>(F180-E180)</f>
        <v>774</v>
      </c>
      <c r="H180" s="295" t="s">
        <v>242</v>
      </c>
      <c r="I180" s="310">
        <v>0</v>
      </c>
      <c r="J180" s="310">
        <v>1</v>
      </c>
      <c r="K180" s="310">
        <v>1</v>
      </c>
      <c r="L180" s="310"/>
      <c r="M180" s="310">
        <v>1</v>
      </c>
      <c r="N180" s="310"/>
      <c r="O180" s="310"/>
      <c r="P180" s="310"/>
      <c r="Q180" s="310"/>
      <c r="R180" s="310"/>
      <c r="S180" s="310"/>
      <c r="T180" s="310"/>
      <c r="U180" s="310"/>
      <c r="V180" s="310"/>
      <c r="X180" s="310">
        <v>0</v>
      </c>
      <c r="Y180" s="310"/>
      <c r="Z180" s="310"/>
      <c r="AA180" s="310"/>
      <c r="AB180" s="310"/>
      <c r="AC180" s="310"/>
      <c r="AD180" s="310"/>
      <c r="AE180" s="310"/>
      <c r="AF180" s="310"/>
      <c r="AG180" s="310"/>
      <c r="AH180" s="310"/>
    </row>
    <row r="181" spans="3:35" s="295" customFormat="1" x14ac:dyDescent="0.25">
      <c r="C181" s="277" t="s">
        <v>213</v>
      </c>
      <c r="D181" s="51">
        <v>524859</v>
      </c>
      <c r="E181" s="273">
        <v>44385</v>
      </c>
      <c r="F181" s="273">
        <v>44530</v>
      </c>
      <c r="G181" s="23">
        <f>F181-E181</f>
        <v>145</v>
      </c>
      <c r="H181" s="16" t="s">
        <v>171</v>
      </c>
      <c r="I181" s="314">
        <v>1</v>
      </c>
      <c r="J181" s="314">
        <v>1</v>
      </c>
      <c r="K181" s="79" t="s">
        <v>172</v>
      </c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272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</row>
    <row r="182" spans="3:35" s="295" customFormat="1" x14ac:dyDescent="0.25">
      <c r="C182" s="295" t="s">
        <v>45</v>
      </c>
      <c r="D182" s="295">
        <v>6441005</v>
      </c>
      <c r="E182" s="273">
        <v>44403</v>
      </c>
      <c r="F182" s="296">
        <v>45497</v>
      </c>
      <c r="G182" s="297">
        <f>F182-E182</f>
        <v>1094</v>
      </c>
      <c r="H182" s="9" t="s">
        <v>171</v>
      </c>
      <c r="I182" s="310">
        <v>1</v>
      </c>
      <c r="J182" s="310">
        <v>1</v>
      </c>
      <c r="K182" s="310">
        <v>1</v>
      </c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295" t="s">
        <v>303</v>
      </c>
      <c r="X182" s="310">
        <v>0</v>
      </c>
      <c r="Y182" s="310"/>
      <c r="Z182" s="310"/>
      <c r="AA182" s="310"/>
      <c r="AB182" s="310"/>
      <c r="AC182" s="310"/>
      <c r="AD182" s="310"/>
      <c r="AE182" s="310"/>
      <c r="AF182" s="310"/>
      <c r="AG182" s="310"/>
      <c r="AH182" s="310">
        <v>2</v>
      </c>
      <c r="AI182" s="295" t="s">
        <v>46</v>
      </c>
    </row>
    <row r="183" spans="3:35" s="295" customFormat="1" x14ac:dyDescent="0.25">
      <c r="C183" s="293" t="s">
        <v>196</v>
      </c>
      <c r="D183" s="57">
        <v>1505916</v>
      </c>
      <c r="E183" s="273">
        <v>44299</v>
      </c>
      <c r="F183" s="273">
        <v>45236</v>
      </c>
      <c r="G183" s="23">
        <f>F183-E183</f>
        <v>937</v>
      </c>
      <c r="H183" s="298" t="s">
        <v>171</v>
      </c>
      <c r="I183" s="311">
        <v>0</v>
      </c>
      <c r="J183" s="311">
        <v>1</v>
      </c>
      <c r="K183" s="310">
        <v>2</v>
      </c>
      <c r="L183" s="310"/>
      <c r="M183" s="310"/>
      <c r="N183" s="310">
        <v>1</v>
      </c>
      <c r="O183" s="310"/>
      <c r="P183" s="310">
        <v>1</v>
      </c>
      <c r="Q183" s="310"/>
      <c r="R183" s="310"/>
      <c r="S183" s="310"/>
      <c r="T183" s="310"/>
      <c r="U183" s="310"/>
      <c r="V183" s="310"/>
      <c r="X183" s="310">
        <v>0</v>
      </c>
      <c r="Y183" s="310"/>
      <c r="Z183" s="310"/>
      <c r="AA183" s="310"/>
      <c r="AB183" s="310"/>
      <c r="AC183" s="310"/>
      <c r="AD183" s="310"/>
      <c r="AE183" s="310"/>
      <c r="AF183" s="310"/>
      <c r="AG183" s="310"/>
      <c r="AH183" s="310"/>
    </row>
    <row r="184" spans="3:35" s="295" customFormat="1" x14ac:dyDescent="0.25">
      <c r="C184" s="303" t="s">
        <v>164</v>
      </c>
      <c r="D184" s="272">
        <v>3361340</v>
      </c>
      <c r="E184" s="300">
        <v>44795</v>
      </c>
      <c r="F184" s="300">
        <v>45406</v>
      </c>
      <c r="G184" s="301">
        <f>(F184-E184)</f>
        <v>611</v>
      </c>
      <c r="H184" s="295" t="s">
        <v>242</v>
      </c>
      <c r="I184" s="310">
        <v>0</v>
      </c>
      <c r="J184" s="310">
        <v>1</v>
      </c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X184" s="310"/>
      <c r="Y184" s="310"/>
      <c r="Z184" s="310"/>
      <c r="AA184" s="310"/>
      <c r="AB184" s="310"/>
      <c r="AC184" s="310"/>
      <c r="AD184" s="310"/>
      <c r="AE184" s="310"/>
      <c r="AF184" s="310"/>
      <c r="AG184" s="310"/>
      <c r="AH184" s="310"/>
    </row>
    <row r="185" spans="3:35" s="295" customFormat="1" x14ac:dyDescent="0.25">
      <c r="C185" s="282" t="s">
        <v>206</v>
      </c>
      <c r="D185" s="22">
        <v>242136</v>
      </c>
      <c r="E185" s="273">
        <v>44330</v>
      </c>
      <c r="F185" s="273">
        <v>45077</v>
      </c>
      <c r="G185" s="23">
        <f t="shared" ref="G185:G207" si="11">F185-E185</f>
        <v>747</v>
      </c>
      <c r="H185" s="9" t="s">
        <v>171</v>
      </c>
      <c r="I185" s="311">
        <v>0</v>
      </c>
      <c r="J185" s="311">
        <v>1</v>
      </c>
      <c r="K185" s="78">
        <v>3</v>
      </c>
      <c r="L185" s="78"/>
      <c r="M185" s="78"/>
      <c r="N185" s="78">
        <v>3</v>
      </c>
      <c r="O185" s="78">
        <v>2</v>
      </c>
      <c r="P185" s="78">
        <v>3</v>
      </c>
      <c r="Q185" s="78"/>
      <c r="R185" s="78"/>
      <c r="S185" s="78"/>
      <c r="T185" s="78"/>
      <c r="U185" s="78"/>
      <c r="V185" s="78"/>
      <c r="W185" s="216" t="s">
        <v>207</v>
      </c>
      <c r="X185" s="78">
        <v>0</v>
      </c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</row>
    <row r="186" spans="3:35" s="295" customFormat="1" x14ac:dyDescent="0.25">
      <c r="C186" s="50" t="s">
        <v>67</v>
      </c>
      <c r="D186" s="16">
        <v>5495453</v>
      </c>
      <c r="E186" s="273">
        <v>44546</v>
      </c>
      <c r="F186" s="296">
        <v>44650</v>
      </c>
      <c r="G186" s="297">
        <f t="shared" si="11"/>
        <v>104</v>
      </c>
      <c r="H186" s="9" t="s">
        <v>242</v>
      </c>
      <c r="I186" s="310">
        <v>1</v>
      </c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295" t="s">
        <v>306</v>
      </c>
      <c r="X186" s="310"/>
      <c r="Y186" s="310"/>
      <c r="Z186" s="310"/>
      <c r="AA186" s="310"/>
      <c r="AB186" s="310"/>
      <c r="AC186" s="310"/>
      <c r="AD186" s="310"/>
      <c r="AE186" s="310"/>
      <c r="AF186" s="310"/>
      <c r="AG186" s="310"/>
      <c r="AH186" s="310"/>
    </row>
    <row r="187" spans="3:35" s="295" customFormat="1" x14ac:dyDescent="0.25">
      <c r="C187" s="272" t="s">
        <v>89</v>
      </c>
      <c r="D187" s="272">
        <v>4012359</v>
      </c>
      <c r="E187" s="273">
        <v>44606</v>
      </c>
      <c r="F187" s="296">
        <v>45370</v>
      </c>
      <c r="G187" s="297">
        <f t="shared" si="11"/>
        <v>764</v>
      </c>
      <c r="H187" s="9" t="s">
        <v>242</v>
      </c>
      <c r="I187" s="310">
        <v>0</v>
      </c>
      <c r="J187" s="310">
        <v>1</v>
      </c>
      <c r="K187" s="310">
        <v>1</v>
      </c>
      <c r="L187" s="310"/>
      <c r="M187" s="310"/>
      <c r="N187" s="310"/>
      <c r="O187" s="310"/>
      <c r="P187" s="310"/>
      <c r="Q187" s="310"/>
      <c r="R187" s="310">
        <v>1</v>
      </c>
      <c r="S187" s="310"/>
      <c r="T187" s="310"/>
      <c r="U187" s="310"/>
      <c r="V187" s="310"/>
      <c r="X187" s="310">
        <v>0</v>
      </c>
      <c r="Y187" s="310"/>
      <c r="Z187" s="310"/>
      <c r="AA187" s="310"/>
      <c r="AB187" s="310"/>
      <c r="AC187" s="310"/>
      <c r="AD187" s="310"/>
      <c r="AE187" s="310"/>
      <c r="AF187" s="310"/>
      <c r="AG187" s="310"/>
      <c r="AH187" s="310">
        <v>2</v>
      </c>
    </row>
    <row r="188" spans="3:35" s="295" customFormat="1" x14ac:dyDescent="0.25">
      <c r="C188" s="9" t="s">
        <v>31</v>
      </c>
      <c r="D188" s="9">
        <v>860879</v>
      </c>
      <c r="E188" s="273">
        <v>44201</v>
      </c>
      <c r="F188" s="296">
        <v>45321</v>
      </c>
      <c r="G188" s="297">
        <f t="shared" si="11"/>
        <v>1120</v>
      </c>
      <c r="H188" s="9" t="s">
        <v>171</v>
      </c>
      <c r="I188" s="310">
        <v>0</v>
      </c>
      <c r="J188" s="310">
        <v>1</v>
      </c>
      <c r="K188" s="310">
        <v>1</v>
      </c>
      <c r="L188" s="310"/>
      <c r="M188" s="310">
        <v>1</v>
      </c>
      <c r="N188" s="310">
        <v>1</v>
      </c>
      <c r="O188" s="310"/>
      <c r="P188" s="310"/>
      <c r="Q188" s="310">
        <v>1</v>
      </c>
      <c r="R188" s="310">
        <v>1</v>
      </c>
      <c r="S188" s="310">
        <v>1</v>
      </c>
      <c r="T188" s="310">
        <v>1</v>
      </c>
      <c r="U188" s="310"/>
      <c r="V188" s="310"/>
      <c r="X188" s="310">
        <v>1</v>
      </c>
      <c r="Y188" s="310"/>
      <c r="Z188" s="310"/>
      <c r="AA188" s="310"/>
      <c r="AB188" s="310"/>
      <c r="AC188" s="310"/>
      <c r="AD188" s="310"/>
      <c r="AE188" s="310"/>
      <c r="AF188" s="310"/>
      <c r="AG188" s="310"/>
      <c r="AH188" s="310">
        <v>1</v>
      </c>
    </row>
    <row r="189" spans="3:35" s="295" customFormat="1" x14ac:dyDescent="0.25">
      <c r="C189" s="292" t="s">
        <v>216</v>
      </c>
      <c r="D189" s="53">
        <v>1766448</v>
      </c>
      <c r="E189" s="273">
        <v>44393</v>
      </c>
      <c r="F189" s="273">
        <v>45131</v>
      </c>
      <c r="G189" s="23">
        <f t="shared" si="11"/>
        <v>738</v>
      </c>
      <c r="H189" s="16" t="s">
        <v>171</v>
      </c>
      <c r="I189" s="311">
        <v>0</v>
      </c>
      <c r="J189" s="311">
        <v>1</v>
      </c>
      <c r="K189" s="79">
        <v>0</v>
      </c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272"/>
      <c r="X189" s="79">
        <v>0</v>
      </c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</row>
    <row r="190" spans="3:35" s="295" customFormat="1" x14ac:dyDescent="0.25">
      <c r="C190" s="308" t="s">
        <v>198</v>
      </c>
      <c r="D190" s="57">
        <v>4894117</v>
      </c>
      <c r="E190" s="273">
        <v>44326</v>
      </c>
      <c r="F190" s="273">
        <v>45252</v>
      </c>
      <c r="G190" s="23">
        <f t="shared" si="11"/>
        <v>926</v>
      </c>
      <c r="H190" s="305" t="s">
        <v>171</v>
      </c>
      <c r="I190" s="311">
        <v>0</v>
      </c>
      <c r="J190" s="311">
        <v>1</v>
      </c>
      <c r="K190" s="313">
        <v>1</v>
      </c>
      <c r="L190" s="77"/>
      <c r="M190" s="77"/>
      <c r="N190" s="77"/>
      <c r="O190" s="77"/>
      <c r="P190" s="77"/>
      <c r="Q190" s="77"/>
      <c r="R190" s="77">
        <v>1</v>
      </c>
      <c r="S190" s="77"/>
      <c r="T190" s="77"/>
      <c r="U190" s="313"/>
      <c r="V190" s="77"/>
      <c r="W190" s="286"/>
      <c r="X190" s="77">
        <v>0</v>
      </c>
      <c r="Y190" s="310"/>
      <c r="Z190" s="313"/>
      <c r="AA190" s="77"/>
      <c r="AB190" s="77"/>
      <c r="AC190" s="77"/>
      <c r="AD190" s="313"/>
      <c r="AE190" s="313"/>
      <c r="AF190" s="77"/>
      <c r="AG190" s="77"/>
      <c r="AH190" s="77"/>
    </row>
    <row r="191" spans="3:35" s="295" customFormat="1" x14ac:dyDescent="0.25">
      <c r="C191" s="50" t="s">
        <v>69</v>
      </c>
      <c r="D191" s="16">
        <v>2404653</v>
      </c>
      <c r="E191" s="273">
        <v>44522</v>
      </c>
      <c r="F191" s="296">
        <v>44804</v>
      </c>
      <c r="G191" s="297">
        <f t="shared" si="11"/>
        <v>282</v>
      </c>
      <c r="H191" s="9" t="s">
        <v>242</v>
      </c>
      <c r="I191" s="310">
        <v>1</v>
      </c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X191" s="310"/>
      <c r="Y191" s="310"/>
      <c r="Z191" s="310"/>
      <c r="AA191" s="310"/>
      <c r="AB191" s="310"/>
      <c r="AC191" s="310"/>
      <c r="AD191" s="310"/>
      <c r="AE191" s="310"/>
      <c r="AF191" s="310"/>
      <c r="AG191" s="310"/>
      <c r="AH191" s="310"/>
    </row>
    <row r="192" spans="3:35" s="295" customFormat="1" x14ac:dyDescent="0.25">
      <c r="C192" s="21" t="s">
        <v>175</v>
      </c>
      <c r="D192" s="22">
        <v>4646753</v>
      </c>
      <c r="E192" s="273">
        <v>44179</v>
      </c>
      <c r="F192" s="273">
        <v>45121</v>
      </c>
      <c r="G192" s="23">
        <f t="shared" si="11"/>
        <v>942</v>
      </c>
      <c r="H192" s="9" t="s">
        <v>171</v>
      </c>
      <c r="I192" s="311">
        <v>0</v>
      </c>
      <c r="J192" s="311">
        <v>1</v>
      </c>
      <c r="K192" s="310">
        <v>2</v>
      </c>
      <c r="L192" s="310">
        <v>2</v>
      </c>
      <c r="M192" s="310">
        <v>2</v>
      </c>
      <c r="N192" s="310">
        <v>2</v>
      </c>
      <c r="O192" s="310">
        <v>1</v>
      </c>
      <c r="P192" s="310"/>
      <c r="Q192" s="310"/>
      <c r="R192" s="310">
        <v>2</v>
      </c>
      <c r="S192" s="310"/>
      <c r="T192" s="310"/>
      <c r="U192" s="310"/>
      <c r="V192" s="310"/>
      <c r="W192" s="295" t="s">
        <v>176</v>
      </c>
      <c r="X192" s="310">
        <v>0</v>
      </c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0"/>
    </row>
    <row r="193" spans="3:34" s="295" customFormat="1" x14ac:dyDescent="0.25">
      <c r="C193" s="50" t="s">
        <v>117</v>
      </c>
      <c r="D193" s="16">
        <v>1429898</v>
      </c>
      <c r="E193" s="273">
        <v>44664</v>
      </c>
      <c r="F193" s="296">
        <v>45405</v>
      </c>
      <c r="G193" s="297">
        <f t="shared" si="11"/>
        <v>741</v>
      </c>
      <c r="H193" s="9" t="s">
        <v>242</v>
      </c>
      <c r="I193" s="310">
        <v>0</v>
      </c>
      <c r="J193" s="310">
        <v>1</v>
      </c>
      <c r="K193" s="310">
        <v>0</v>
      </c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X193" s="310">
        <v>0</v>
      </c>
      <c r="Y193" s="310"/>
      <c r="Z193" s="310"/>
      <c r="AA193" s="310"/>
      <c r="AB193" s="310"/>
      <c r="AC193" s="310"/>
      <c r="AD193" s="310"/>
      <c r="AE193" s="310"/>
      <c r="AF193" s="310"/>
      <c r="AG193" s="310"/>
      <c r="AH193" s="310"/>
    </row>
    <row r="194" spans="3:34" s="295" customFormat="1" x14ac:dyDescent="0.25">
      <c r="C194" s="21" t="s">
        <v>182</v>
      </c>
      <c r="D194" s="22">
        <v>5059887</v>
      </c>
      <c r="E194" s="273">
        <v>44179</v>
      </c>
      <c r="F194" s="273">
        <v>45049</v>
      </c>
      <c r="G194" s="23">
        <f t="shared" si="11"/>
        <v>870</v>
      </c>
      <c r="H194" s="9" t="s">
        <v>171</v>
      </c>
      <c r="I194" s="311">
        <v>0</v>
      </c>
      <c r="J194" s="311">
        <v>1</v>
      </c>
      <c r="K194" s="310">
        <v>2</v>
      </c>
      <c r="L194" s="310"/>
      <c r="M194" s="310"/>
      <c r="N194" s="310">
        <v>2</v>
      </c>
      <c r="O194" s="310"/>
      <c r="P194" s="310"/>
      <c r="Q194" s="310"/>
      <c r="R194" s="310">
        <v>2</v>
      </c>
      <c r="S194" s="310"/>
      <c r="T194" s="310"/>
      <c r="U194" s="310"/>
      <c r="V194" s="310"/>
      <c r="W194" s="295" t="s">
        <v>183</v>
      </c>
      <c r="X194" s="310">
        <v>0</v>
      </c>
      <c r="Y194" s="310"/>
      <c r="Z194" s="310"/>
      <c r="AA194" s="310"/>
      <c r="AB194" s="310"/>
      <c r="AC194" s="310"/>
      <c r="AD194" s="310"/>
      <c r="AE194" s="310"/>
      <c r="AF194" s="310"/>
      <c r="AG194" s="310"/>
      <c r="AH194" s="310"/>
    </row>
    <row r="195" spans="3:34" s="295" customFormat="1" x14ac:dyDescent="0.25">
      <c r="C195" s="50" t="s">
        <v>83</v>
      </c>
      <c r="D195" s="272">
        <v>6648143</v>
      </c>
      <c r="E195" s="273">
        <v>44585</v>
      </c>
      <c r="F195" s="296">
        <v>45373</v>
      </c>
      <c r="G195" s="297">
        <f t="shared" si="11"/>
        <v>788</v>
      </c>
      <c r="H195" s="9" t="s">
        <v>242</v>
      </c>
      <c r="I195" s="310">
        <v>0</v>
      </c>
      <c r="J195" s="310">
        <v>1</v>
      </c>
      <c r="K195" s="310">
        <v>0</v>
      </c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X195" s="310">
        <v>0</v>
      </c>
      <c r="Y195" s="310"/>
      <c r="Z195" s="310"/>
      <c r="AA195" s="310"/>
      <c r="AB195" s="310"/>
      <c r="AC195" s="310"/>
      <c r="AD195" s="310"/>
      <c r="AE195" s="310"/>
      <c r="AF195" s="310"/>
      <c r="AG195" s="310">
        <v>1</v>
      </c>
      <c r="AH195" s="310">
        <v>1</v>
      </c>
    </row>
    <row r="196" spans="3:34" s="295" customFormat="1" x14ac:dyDescent="0.25">
      <c r="C196" s="287" t="s">
        <v>68</v>
      </c>
      <c r="D196" s="272">
        <v>1817419</v>
      </c>
      <c r="E196" s="273">
        <v>44497</v>
      </c>
      <c r="F196" s="296">
        <v>45441</v>
      </c>
      <c r="G196" s="297">
        <f t="shared" si="11"/>
        <v>944</v>
      </c>
      <c r="H196" s="9" t="s">
        <v>242</v>
      </c>
      <c r="I196" s="310">
        <v>0</v>
      </c>
      <c r="J196" s="310">
        <v>1</v>
      </c>
      <c r="K196" s="310">
        <v>0</v>
      </c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X196" s="310">
        <v>0</v>
      </c>
      <c r="Y196" s="310"/>
      <c r="Z196" s="310"/>
      <c r="AA196" s="310"/>
      <c r="AB196" s="310"/>
      <c r="AC196" s="310"/>
      <c r="AD196" s="310"/>
      <c r="AE196" s="310"/>
      <c r="AF196" s="310"/>
      <c r="AG196" s="310"/>
      <c r="AH196" s="310"/>
    </row>
    <row r="197" spans="3:34" s="295" customFormat="1" x14ac:dyDescent="0.25">
      <c r="C197" s="52" t="s">
        <v>57</v>
      </c>
      <c r="D197" s="272">
        <v>5576950</v>
      </c>
      <c r="E197" s="273">
        <v>44490</v>
      </c>
      <c r="F197" s="296">
        <v>45413</v>
      </c>
      <c r="G197" s="297">
        <f t="shared" si="11"/>
        <v>923</v>
      </c>
      <c r="H197" s="9" t="s">
        <v>171</v>
      </c>
      <c r="I197" s="310">
        <v>0</v>
      </c>
      <c r="J197" s="310">
        <v>1</v>
      </c>
      <c r="K197" s="310">
        <v>1</v>
      </c>
      <c r="L197" s="310"/>
      <c r="M197" s="310"/>
      <c r="N197" s="310">
        <v>1</v>
      </c>
      <c r="O197" s="310">
        <v>1</v>
      </c>
      <c r="P197" s="310"/>
      <c r="Q197" s="310"/>
      <c r="R197" s="310">
        <v>1</v>
      </c>
      <c r="S197" s="310"/>
      <c r="T197" s="310"/>
      <c r="U197" s="310"/>
      <c r="V197" s="310"/>
      <c r="X197" s="310">
        <v>0</v>
      </c>
      <c r="Y197" s="310"/>
      <c r="Z197" s="310"/>
      <c r="AA197" s="310"/>
      <c r="AB197" s="310"/>
      <c r="AC197" s="310"/>
      <c r="AD197" s="310"/>
      <c r="AE197" s="310"/>
      <c r="AF197" s="310"/>
      <c r="AG197" s="310"/>
      <c r="AH197" s="310">
        <v>2</v>
      </c>
    </row>
    <row r="198" spans="3:34" s="295" customFormat="1" x14ac:dyDescent="0.25">
      <c r="C198" s="276" t="s">
        <v>247</v>
      </c>
      <c r="D198" s="22">
        <v>6332571</v>
      </c>
      <c r="E198" s="279">
        <v>44173</v>
      </c>
      <c r="F198" s="279">
        <v>45125</v>
      </c>
      <c r="G198" s="23">
        <f t="shared" si="11"/>
        <v>952</v>
      </c>
      <c r="H198" s="9" t="s">
        <v>242</v>
      </c>
      <c r="I198" s="311">
        <v>0</v>
      </c>
      <c r="J198" s="311">
        <v>1</v>
      </c>
      <c r="K198" s="310">
        <v>1</v>
      </c>
      <c r="L198" s="317"/>
      <c r="M198" s="310"/>
      <c r="N198" s="310">
        <v>1</v>
      </c>
      <c r="O198" s="310">
        <v>1</v>
      </c>
      <c r="P198" s="310"/>
      <c r="Q198" s="310"/>
      <c r="R198" s="310">
        <v>2</v>
      </c>
      <c r="S198" s="310"/>
      <c r="T198" s="310"/>
      <c r="U198" s="310"/>
      <c r="V198" s="310"/>
      <c r="W198" s="295" t="s">
        <v>248</v>
      </c>
      <c r="X198" s="310">
        <v>0</v>
      </c>
      <c r="Y198" s="310"/>
      <c r="Z198" s="310"/>
      <c r="AA198" s="310"/>
      <c r="AB198" s="310"/>
      <c r="AC198" s="310"/>
      <c r="AD198" s="310"/>
      <c r="AE198" s="310"/>
      <c r="AF198" s="310"/>
      <c r="AG198" s="310"/>
      <c r="AH198" s="310"/>
    </row>
    <row r="199" spans="3:34" s="295" customFormat="1" x14ac:dyDescent="0.25">
      <c r="C199" s="302" t="s">
        <v>290</v>
      </c>
      <c r="D199" s="298">
        <v>1228610</v>
      </c>
      <c r="E199" s="279">
        <v>44427</v>
      </c>
      <c r="F199" s="279">
        <v>45238</v>
      </c>
      <c r="G199" s="23">
        <f t="shared" si="11"/>
        <v>811</v>
      </c>
      <c r="H199" s="298" t="s">
        <v>242</v>
      </c>
      <c r="I199" s="311">
        <v>0</v>
      </c>
      <c r="J199" s="311">
        <v>1</v>
      </c>
      <c r="K199" s="310">
        <v>2</v>
      </c>
      <c r="L199" s="310"/>
      <c r="M199" s="310"/>
      <c r="N199" s="310">
        <v>2</v>
      </c>
      <c r="O199" s="310"/>
      <c r="P199" s="310"/>
      <c r="Q199" s="310"/>
      <c r="R199" s="310"/>
      <c r="S199" s="310"/>
      <c r="T199" s="310"/>
      <c r="U199" s="310">
        <v>1</v>
      </c>
      <c r="V199" s="310"/>
      <c r="W199" s="295" t="s">
        <v>291</v>
      </c>
      <c r="X199" s="310">
        <v>0</v>
      </c>
      <c r="Y199" s="310"/>
      <c r="Z199" s="310"/>
      <c r="AA199" s="310"/>
      <c r="AB199" s="310"/>
      <c r="AC199" s="310"/>
      <c r="AD199" s="310"/>
      <c r="AE199" s="310"/>
      <c r="AF199" s="310"/>
      <c r="AG199" s="310"/>
      <c r="AH199" s="310"/>
    </row>
    <row r="200" spans="3:34" s="295" customFormat="1" x14ac:dyDescent="0.25">
      <c r="C200" s="302" t="s">
        <v>221</v>
      </c>
      <c r="D200" s="57">
        <v>865936</v>
      </c>
      <c r="E200" s="273">
        <v>44453</v>
      </c>
      <c r="F200" s="273">
        <v>45224</v>
      </c>
      <c r="G200" s="23">
        <f t="shared" si="11"/>
        <v>771</v>
      </c>
      <c r="H200" s="298" t="s">
        <v>171</v>
      </c>
      <c r="I200" s="311">
        <v>0</v>
      </c>
      <c r="J200" s="311">
        <v>1</v>
      </c>
      <c r="K200" s="310">
        <v>1</v>
      </c>
      <c r="L200" s="310"/>
      <c r="M200" s="310"/>
      <c r="N200" s="310"/>
      <c r="O200" s="310"/>
      <c r="P200" s="310"/>
      <c r="Q200" s="310"/>
      <c r="R200" s="310">
        <v>1</v>
      </c>
      <c r="S200" s="310">
        <v>1</v>
      </c>
      <c r="T200" s="310"/>
      <c r="U200" s="310"/>
      <c r="V200" s="310"/>
      <c r="W200" s="295" t="s">
        <v>222</v>
      </c>
      <c r="X200" s="310">
        <v>0</v>
      </c>
      <c r="Y200" s="310"/>
      <c r="Z200" s="310"/>
      <c r="AA200" s="310"/>
      <c r="AB200" s="310"/>
      <c r="AC200" s="310"/>
      <c r="AD200" s="310"/>
      <c r="AE200" s="310"/>
      <c r="AF200" s="310"/>
      <c r="AG200" s="310"/>
      <c r="AH200" s="310"/>
    </row>
    <row r="201" spans="3:34" s="295" customFormat="1" x14ac:dyDescent="0.25">
      <c r="C201" s="272" t="s">
        <v>84</v>
      </c>
      <c r="D201" s="272">
        <v>5191378</v>
      </c>
      <c r="E201" s="273">
        <v>44706</v>
      </c>
      <c r="F201" s="296">
        <v>44902</v>
      </c>
      <c r="G201" s="297">
        <f t="shared" si="11"/>
        <v>196</v>
      </c>
      <c r="H201" s="9" t="s">
        <v>242</v>
      </c>
      <c r="I201" s="310">
        <v>1</v>
      </c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X201" s="310"/>
      <c r="Y201" s="310"/>
      <c r="Z201" s="310"/>
      <c r="AA201" s="310"/>
      <c r="AB201" s="310"/>
      <c r="AC201" s="310"/>
      <c r="AD201" s="310"/>
      <c r="AE201" s="310"/>
      <c r="AF201" s="310"/>
      <c r="AG201" s="310"/>
      <c r="AH201" s="310"/>
    </row>
    <row r="202" spans="3:34" s="295" customFormat="1" x14ac:dyDescent="0.25">
      <c r="C202" s="276" t="s">
        <v>266</v>
      </c>
      <c r="D202" s="22">
        <v>3334743</v>
      </c>
      <c r="E202" s="279">
        <v>44279</v>
      </c>
      <c r="F202" s="279">
        <v>44712</v>
      </c>
      <c r="G202" s="23">
        <f t="shared" si="11"/>
        <v>433</v>
      </c>
      <c r="H202" s="9" t="s">
        <v>242</v>
      </c>
      <c r="I202" s="311" t="s">
        <v>172</v>
      </c>
      <c r="J202" s="311">
        <v>0</v>
      </c>
      <c r="K202" s="310" t="s">
        <v>172</v>
      </c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X202" s="310"/>
      <c r="Y202" s="310"/>
      <c r="Z202" s="310"/>
      <c r="AA202" s="310"/>
      <c r="AB202" s="310"/>
      <c r="AC202" s="310"/>
      <c r="AD202" s="310"/>
      <c r="AE202" s="310"/>
      <c r="AF202" s="310"/>
      <c r="AG202" s="310"/>
      <c r="AH202" s="310"/>
    </row>
    <row r="203" spans="3:34" s="295" customFormat="1" x14ac:dyDescent="0.25">
      <c r="C203" s="276" t="s">
        <v>259</v>
      </c>
      <c r="D203" s="22">
        <v>5532430</v>
      </c>
      <c r="E203" s="279">
        <v>44258</v>
      </c>
      <c r="F203" s="279">
        <v>45203</v>
      </c>
      <c r="G203" s="23">
        <f t="shared" si="11"/>
        <v>945</v>
      </c>
      <c r="H203" s="9" t="s">
        <v>242</v>
      </c>
      <c r="I203" s="311">
        <v>0</v>
      </c>
      <c r="J203" s="311">
        <v>1</v>
      </c>
      <c r="K203" s="310">
        <v>1</v>
      </c>
      <c r="L203" s="317"/>
      <c r="M203" s="310"/>
      <c r="N203" s="310"/>
      <c r="O203" s="310"/>
      <c r="P203" s="310"/>
      <c r="Q203" s="310"/>
      <c r="R203" s="310">
        <v>1</v>
      </c>
      <c r="S203" s="310"/>
      <c r="T203" s="310"/>
      <c r="U203" s="310"/>
      <c r="V203" s="310"/>
      <c r="X203" s="310">
        <v>0</v>
      </c>
      <c r="Y203" s="310"/>
      <c r="Z203" s="310"/>
      <c r="AA203" s="310">
        <v>0</v>
      </c>
      <c r="AB203" s="310"/>
      <c r="AC203" s="310"/>
      <c r="AD203" s="310"/>
      <c r="AE203" s="310"/>
      <c r="AF203" s="310"/>
      <c r="AG203" s="310"/>
      <c r="AH203" s="310"/>
    </row>
    <row r="204" spans="3:34" s="295" customFormat="1" x14ac:dyDescent="0.25">
      <c r="C204" s="302" t="s">
        <v>217</v>
      </c>
      <c r="D204" s="298">
        <v>4651408</v>
      </c>
      <c r="E204" s="273">
        <v>44405</v>
      </c>
      <c r="F204" s="273">
        <v>45143</v>
      </c>
      <c r="G204" s="23">
        <f t="shared" si="11"/>
        <v>738</v>
      </c>
      <c r="H204" s="298" t="s">
        <v>171</v>
      </c>
      <c r="I204" s="311">
        <v>0</v>
      </c>
      <c r="J204" s="311">
        <v>1</v>
      </c>
      <c r="K204" s="310">
        <v>0</v>
      </c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X204" s="79">
        <v>0</v>
      </c>
      <c r="Y204" s="310"/>
      <c r="Z204" s="310"/>
      <c r="AA204" s="310"/>
      <c r="AB204" s="310"/>
      <c r="AC204" s="310"/>
      <c r="AD204" s="310"/>
      <c r="AE204" s="310"/>
      <c r="AF204" s="310"/>
      <c r="AG204" s="310"/>
      <c r="AH204" s="310"/>
    </row>
    <row r="205" spans="3:34" s="295" customFormat="1" x14ac:dyDescent="0.25">
      <c r="C205" s="276" t="s">
        <v>262</v>
      </c>
      <c r="D205" s="22">
        <v>6283137</v>
      </c>
      <c r="E205" s="279">
        <v>44278</v>
      </c>
      <c r="F205" s="279">
        <v>45181</v>
      </c>
      <c r="G205" s="23">
        <f t="shared" si="11"/>
        <v>903</v>
      </c>
      <c r="H205" s="9" t="s">
        <v>242</v>
      </c>
      <c r="I205" s="311">
        <v>0</v>
      </c>
      <c r="J205" s="311">
        <v>1</v>
      </c>
      <c r="K205" s="310">
        <v>2</v>
      </c>
      <c r="L205" s="310"/>
      <c r="M205" s="310"/>
      <c r="N205" s="310">
        <v>2</v>
      </c>
      <c r="O205" s="310"/>
      <c r="P205" s="310"/>
      <c r="Q205" s="310"/>
      <c r="R205" s="310">
        <v>2</v>
      </c>
      <c r="S205" s="310"/>
      <c r="T205" s="310"/>
      <c r="U205" s="310"/>
      <c r="V205" s="310"/>
      <c r="W205" s="295" t="s">
        <v>263</v>
      </c>
      <c r="X205" s="310">
        <v>0</v>
      </c>
      <c r="Y205" s="310"/>
      <c r="Z205" s="310"/>
      <c r="AA205" s="310"/>
      <c r="AB205" s="310"/>
      <c r="AC205" s="310"/>
      <c r="AD205" s="310"/>
      <c r="AE205" s="310"/>
      <c r="AF205" s="310"/>
      <c r="AG205" s="310"/>
      <c r="AH205" s="310"/>
    </row>
    <row r="206" spans="3:34" s="295" customFormat="1" ht="15.75" x14ac:dyDescent="0.25">
      <c r="C206" s="291" t="s">
        <v>267</v>
      </c>
      <c r="D206" s="57">
        <v>3318633</v>
      </c>
      <c r="E206" s="279">
        <v>44286</v>
      </c>
      <c r="F206" s="279">
        <v>45205</v>
      </c>
      <c r="G206" s="23">
        <f t="shared" si="11"/>
        <v>919</v>
      </c>
      <c r="H206" s="9" t="s">
        <v>242</v>
      </c>
      <c r="I206" s="311">
        <v>0</v>
      </c>
      <c r="J206" s="311">
        <v>1</v>
      </c>
      <c r="K206" s="310">
        <v>0</v>
      </c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X206" s="310">
        <v>0</v>
      </c>
      <c r="Y206" s="310"/>
      <c r="Z206" s="310"/>
      <c r="AA206" s="310"/>
      <c r="AB206" s="310"/>
      <c r="AC206" s="310"/>
      <c r="AD206" s="310"/>
      <c r="AE206" s="310"/>
      <c r="AF206" s="310"/>
      <c r="AG206" s="310"/>
      <c r="AH206" s="310"/>
    </row>
    <row r="207" spans="3:34" s="295" customFormat="1" x14ac:dyDescent="0.25">
      <c r="C207" s="276" t="s">
        <v>257</v>
      </c>
      <c r="D207" s="22">
        <v>3693077</v>
      </c>
      <c r="E207" s="279">
        <v>44244</v>
      </c>
      <c r="F207" s="279">
        <v>45006</v>
      </c>
      <c r="G207" s="23">
        <f t="shared" si="11"/>
        <v>762</v>
      </c>
      <c r="H207" s="9" t="s">
        <v>242</v>
      </c>
      <c r="I207" s="311">
        <v>0</v>
      </c>
      <c r="J207" s="311">
        <v>1</v>
      </c>
      <c r="K207" s="310">
        <v>0</v>
      </c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X207" s="310">
        <v>0</v>
      </c>
      <c r="Y207" s="310"/>
      <c r="Z207" s="310"/>
      <c r="AA207" s="310"/>
      <c r="AB207" s="310"/>
      <c r="AC207" s="310"/>
      <c r="AD207" s="310"/>
      <c r="AE207" s="310"/>
      <c r="AF207" s="310"/>
      <c r="AG207" s="310"/>
      <c r="AH207" s="310"/>
    </row>
    <row r="208" spans="3:34" s="295" customFormat="1" x14ac:dyDescent="0.25">
      <c r="C208" s="52" t="s">
        <v>150</v>
      </c>
      <c r="D208" s="50" t="s">
        <v>151</v>
      </c>
      <c r="E208" s="300">
        <v>44363</v>
      </c>
      <c r="F208" s="300">
        <v>44895</v>
      </c>
      <c r="G208" s="301">
        <f>(F208-E208)</f>
        <v>532</v>
      </c>
      <c r="H208" s="295" t="s">
        <v>242</v>
      </c>
      <c r="I208" s="310">
        <v>1</v>
      </c>
      <c r="J208" s="310">
        <v>0</v>
      </c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295" t="s">
        <v>152</v>
      </c>
      <c r="X208" s="310"/>
      <c r="Y208" s="310"/>
      <c r="Z208" s="310"/>
      <c r="AA208" s="310"/>
      <c r="AB208" s="310"/>
      <c r="AC208" s="310"/>
      <c r="AD208" s="310"/>
      <c r="AE208" s="310"/>
      <c r="AF208" s="310"/>
      <c r="AG208" s="310"/>
      <c r="AH208" s="310"/>
    </row>
    <row r="209" spans="3:34" s="295" customFormat="1" x14ac:dyDescent="0.25">
      <c r="C209" s="302" t="s">
        <v>240</v>
      </c>
      <c r="D209" s="297">
        <v>626247</v>
      </c>
      <c r="E209" s="273">
        <v>44476</v>
      </c>
      <c r="F209" s="273">
        <v>45251</v>
      </c>
      <c r="G209" s="23">
        <f>F209-E209</f>
        <v>775</v>
      </c>
      <c r="H209" s="298" t="s">
        <v>171</v>
      </c>
      <c r="I209" s="311">
        <v>0</v>
      </c>
      <c r="J209" s="311">
        <v>1</v>
      </c>
      <c r="K209" s="310">
        <v>2</v>
      </c>
      <c r="L209" s="310"/>
      <c r="M209" s="310"/>
      <c r="N209" s="310"/>
      <c r="O209" s="310">
        <v>2</v>
      </c>
      <c r="P209" s="310"/>
      <c r="Q209" s="310"/>
      <c r="R209" s="310"/>
      <c r="S209" s="310"/>
      <c r="T209" s="310"/>
      <c r="U209" s="310"/>
      <c r="V209" s="310"/>
      <c r="X209" s="310">
        <v>0</v>
      </c>
      <c r="Y209" s="310"/>
      <c r="Z209" s="310"/>
      <c r="AA209" s="310"/>
      <c r="AB209" s="310"/>
      <c r="AC209" s="310"/>
      <c r="AD209" s="310"/>
      <c r="AE209" s="310"/>
      <c r="AF209" s="310"/>
      <c r="AG209" s="310"/>
      <c r="AH209" s="310"/>
    </row>
    <row r="210" spans="3:34" s="144" customFormat="1" x14ac:dyDescent="0.25"/>
    <row r="211" spans="3:34" x14ac:dyDescent="0.25">
      <c r="G211" s="3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 ID</vt:lpstr>
      <vt:lpstr>6 months</vt:lpstr>
      <vt:lpstr>9 months</vt:lpstr>
      <vt:lpstr>12 months</vt:lpstr>
      <vt:lpstr>18 months</vt:lpstr>
      <vt:lpstr>24 months</vt:lpstr>
    </vt:vector>
  </TitlesOfParts>
  <Company>UCLA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UCLA Health System</dc:creator>
  <cp:lastModifiedBy>UCLA Health System</cp:lastModifiedBy>
  <dcterms:created xsi:type="dcterms:W3CDTF">2024-08-01T19:20:01Z</dcterms:created>
  <dcterms:modified xsi:type="dcterms:W3CDTF">2025-07-28T15:40:58Z</dcterms:modified>
</cp:coreProperties>
</file>